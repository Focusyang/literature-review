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填写说明" sheetId="1" state="visible" r:id="rId1"/>
    <sheet xmlns:r="http://schemas.openxmlformats.org/officeDocument/2006/relationships" name="1_27个案例裁决" sheetId="2" state="visible" r:id="rId2"/>
    <sheet xmlns:r="http://schemas.openxmlformats.org/officeDocument/2006/relationships" name="2_TableA1核对" sheetId="3" state="visible" r:id="rId3"/>
    <sheet xmlns:r="http://schemas.openxmlformats.org/officeDocument/2006/relationships" name="3_Table4核对" sheetId="4" state="visible" r:id="rId4"/>
    <sheet xmlns:r="http://schemas.openxmlformats.org/officeDocument/2006/relationships" name="4_S2核对" sheetId="5" state="visible" r:id="rId5"/>
    <sheet xmlns:r="http://schemas.openxmlformats.org/officeDocument/2006/relationships" name="5_S105证据核对" sheetId="6" state="visible" r:id="rId6"/>
    <sheet xmlns:r="http://schemas.openxmlformats.org/officeDocument/2006/relationships" name="6_编码定义" sheetId="7" state="visible" r:id="rId7"/>
    <sheet xmlns:r="http://schemas.openxmlformats.org/officeDocument/2006/relationships" name="7_正文陈述核对" sheetId="8" state="visible" r:id="rId8"/>
    <sheet xmlns:r="http://schemas.openxmlformats.org/officeDocument/2006/relationships" name="8_参考文献核对" sheetId="9" state="visible" r:id="rId9"/>
    <sheet xmlns:r="http://schemas.openxmlformats.org/officeDocument/2006/relationships" name="9_S1线索核对" sheetId="10" state="visible" r:id="rId10"/>
  </sheets>
  <definedNames>
    <definedName name="_xlnm._FilterDatabase" localSheetId="1" hidden="1">'1_27个案例裁决'!$A$1:$AG$28</definedName>
    <definedName name="_xlnm._FilterDatabase" localSheetId="2" hidden="1">'2_TableA1核对'!$A$1:$Z$147</definedName>
    <definedName name="_xlnm._FilterDatabase" localSheetId="3" hidden="1">'3_Table4核对'!$A$1:$U$11</definedName>
    <definedName name="_xlnm._FilterDatabase" localSheetId="4" hidden="1">'4_S2核对'!$A$1:$R$25</definedName>
    <definedName name="_xlnm._FilterDatabase" localSheetId="5" hidden="1">'5_S105证据核对'!$A$1:$R$14</definedName>
    <definedName name="_xlnm._FilterDatabase" localSheetId="7" hidden="1">'7_正文陈述核对'!$A$1:$Q$118</definedName>
    <definedName name="_xlnm._FilterDatabase" localSheetId="8" hidden="1">'8_参考文献核对'!$A$1:$R$124</definedName>
    <definedName name="_xlnm._FilterDatabase" localSheetId="9" hidden="1">'9_S1线索核对'!$A$1:$S$75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等线"/>
      <b val="1"/>
      <color rgb="00FFFFFF"/>
      <sz val="10"/>
    </font>
    <font>
      <name val="等线"/>
      <sz val="10"/>
    </font>
    <font>
      <name val="等线"/>
      <b val="1"/>
      <color rgb="001F4E79"/>
      <sz val="11"/>
    </font>
    <font>
      <name val="等线"/>
      <b val="1"/>
      <sz val="10"/>
    </font>
    <font>
      <name val="等线"/>
      <b val="1"/>
      <color rgb="001F4E79"/>
      <sz val="15"/>
    </font>
    <font>
      <name val="等线"/>
      <sz val="10.5"/>
    </font>
    <font>
      <name val="等线"/>
      <b val="1"/>
      <color rgb="001F4E79"/>
      <sz val="12"/>
    </font>
    <font>
      <name val="等线"/>
      <b val="1"/>
      <color rgb="00FFFFFF"/>
    </font>
  </fonts>
  <fills count="10">
    <fill>
      <patternFill/>
    </fill>
    <fill>
      <patternFill patternType="gray125"/>
    </fill>
    <fill>
      <patternFill patternType="solid">
        <fgColor rgb="001F4E79"/>
      </patternFill>
    </fill>
    <fill>
      <patternFill patternType="solid">
        <fgColor rgb="00F4B183"/>
      </patternFill>
    </fill>
    <fill>
      <patternFill patternType="solid">
        <fgColor rgb="00F8CBAD"/>
      </patternFill>
    </fill>
    <fill>
      <patternFill patternType="solid">
        <fgColor rgb="00FFF2CC"/>
      </patternFill>
    </fill>
    <fill>
      <patternFill patternType="solid">
        <fgColor rgb="00FFE699"/>
      </patternFill>
    </fill>
    <fill>
      <patternFill patternType="solid">
        <fgColor rgb="00E2EFDA"/>
      </patternFill>
    </fill>
    <fill>
      <patternFill patternType="solid">
        <fgColor rgb="00C55A11"/>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9"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16" customWidth="1" min="2" max="2"/>
    <col width="10" customWidth="1" min="3" max="3"/>
    <col width="70" customWidth="1" min="4" max="4"/>
  </cols>
  <sheetData>
    <row r="1">
      <c r="A1" s="1" t="inlineStr">
        <is>
          <t>投稿前核对工作簿（v1.7 → v1.8）</t>
        </is>
      </c>
    </row>
    <row r="2" ht="18" customHeight="1">
      <c r="A2" s="2" t="inlineStr">
        <is>
          <t>用途：记录你本人对照原文做出的裁决和核对。完成后把本文件发回给我，我据此更新数据、图表、正文和 v1.8 数据包。</t>
        </is>
      </c>
    </row>
    <row r="3" ht="18" customHeight="1">
      <c r="A3" s="2" t="inlineStr"/>
    </row>
    <row r="4">
      <c r="A4" s="3" t="inlineStr">
        <is>
          <t>填写原则</t>
        </is>
      </c>
    </row>
    <row r="5" ht="18" customHeight="1">
      <c r="A5" s="2" t="inlineStr">
        <is>
          <t>1. 只依据原文判断，并写下页码。可以借助 AI 定位段落或翻译，但最终判断必须是你看过原文后做出的。</t>
        </is>
      </c>
    </row>
    <row r="6" ht="18" customHeight="1">
      <c r="A6" s="2" t="inlineStr">
        <is>
          <t>2. 橙色表头、浅黄底色的列由你填写；其他列是现有记录，请不要修改。</t>
        </is>
      </c>
    </row>
    <row r="7" ht="18" customHeight="1">
      <c r="A7" s="2" t="inlineStr">
        <is>
          <t>3. 即使结论与 v1.6 相同，也要在“你的最终”列填写，表示你确认过。</t>
        </is>
      </c>
    </row>
    <row r="8" ht="18" customHeight="1">
      <c r="A8" s="2" t="inlineStr">
        <is>
          <t>4. 拿不准时选“无法判断”，并在理由或备注中写明原因，不要硬选。</t>
        </is>
      </c>
    </row>
    <row r="9" ht="18" customHeight="1">
      <c r="A9" s="2" t="inlineStr">
        <is>
          <t>5. 只有真的打开过 PDF，“已打开原文核对”才填“是”。</t>
        </is>
      </c>
    </row>
    <row r="10" ht="18" customHeight="1">
      <c r="A10" s="2" t="inlineStr">
        <is>
          <t>6. 理由和备注可以用中文写；放进公开数据包时我会附上英文译文。</t>
        </is>
      </c>
    </row>
    <row r="11" ht="18" customHeight="1">
      <c r="A11" s="2" t="inlineStr"/>
    </row>
    <row r="12">
      <c r="A12" s="3" t="inlineStr">
        <is>
          <t>颜色说明</t>
        </is>
      </c>
    </row>
    <row r="13" ht="18" customHeight="1">
      <c r="A13" s="2" t="inlineStr">
        <is>
          <t>浅红色单元格：AI 建议与 v1.6 编码不同的地方，裁决时重点看。</t>
        </is>
      </c>
    </row>
    <row r="14" ht="30" customHeight="1">
      <c r="A14" s="2" t="inlineStr">
        <is>
          <t>优先级 A（橙）/ B（黄）/ C（绿）：A 为主层、主机制或证据范围有分歧；B 为次层或次机制有分歧；C 只有格式差异或没有差异。</t>
        </is>
      </c>
    </row>
    <row r="15" ht="18" customHeight="1">
      <c r="A15" s="2" t="inlineStr">
        <is>
          <t>灰色行（表 2）：这些变体已在表 1 裁决，表 2 中可以跳过。</t>
        </is>
      </c>
    </row>
    <row r="16" ht="18" customHeight="1">
      <c r="A16" s="2" t="inlineStr">
        <is>
          <t>灰色行（表 7）：已在其他表核对或将由我自动重算的陈述，可以不填；只有发现与原文不一致时才填“需修改”。</t>
        </is>
      </c>
    </row>
    <row r="17" ht="18" customHeight="1">
      <c r="A17" s="2" t="inlineStr"/>
    </row>
    <row r="18">
      <c r="A18" s="3" t="inlineStr">
        <is>
          <t>本版新增的表 7–9</t>
        </is>
      </c>
    </row>
    <row r="19" ht="30" customHeight="1">
      <c r="A19" s="2" t="inlineStr">
        <is>
          <t>表 7 正文陈述核对：正文、表 1–3、表 A.2、表 C.1 中关于具体论文的数字、事实、编码、公式和你本人需要确认的陈述，共 117 条（必核 72、建议核 29）。</t>
        </is>
      </c>
    </row>
    <row r="20" ht="30" customHeight="1">
      <c r="A20" s="2" t="inlineStr">
        <is>
          <t>表 8 参考文献核对：123 条参考文献逐条核对条目信息和发表状态（必核 33：预印本、研讨会论文、补充报告、本文数据包和数据包中没有记录的文献）。</t>
        </is>
      </c>
    </row>
    <row r="21" ht="18" customHeight="1">
      <c r="A21" s="2" t="inlineStr">
        <is>
          <t>表 9 S1 线索核对：74 条未选线索的标题层面分类（必核 9：正文点名、备注疑点和可能重复的记录）。</t>
        </is>
      </c>
    </row>
    <row r="22" ht="18" customHeight="1">
      <c r="A22" s="2" t="inlineStr">
        <is>
          <t>逐项操作方法、符号含义和字段要求见《论文内容核对操作手册_v1.8.md》。</t>
        </is>
      </c>
    </row>
    <row r="23" ht="30" customHeight="1">
      <c r="A23" s="2" t="inlineStr">
        <is>
          <t>r2 修订：表 2“Table A.1 行号”改为与稿件一致的 1–146（v1.8 版多算了表头，从 2 开始）；表 1“次机制 你的最终（可选）”的提示文字改得更清楚。表 1–6 的其他内容和行顺序与 v1.8 版完全相同。</t>
        </is>
      </c>
    </row>
    <row r="24" ht="18" customHeight="1">
      <c r="A24" s="2" t="inlineStr"/>
    </row>
    <row r="25">
      <c r="A25" s="3" t="inlineStr">
        <is>
          <t>完成进度（自动统计）</t>
        </is>
      </c>
    </row>
    <row r="26">
      <c r="A26" s="4" t="inlineStr">
        <is>
          <t>项目</t>
        </is>
      </c>
      <c r="B26" s="4" t="inlineStr">
        <is>
          <t>已完成</t>
        </is>
      </c>
      <c r="C26" s="4" t="inlineStr">
        <is>
          <t>总数</t>
        </is>
      </c>
      <c r="D26" s="4" t="inlineStr">
        <is>
          <t>说明</t>
        </is>
      </c>
    </row>
    <row r="27">
      <c r="A27" s="5" t="inlineStr">
        <is>
          <t>表 1：27 个案例已填裁决结论</t>
        </is>
      </c>
      <c r="B27" s="6">
        <f>COUNTA('1_27个案例裁决'!AC2:AC28)</f>
        <v/>
      </c>
      <c r="C27" s="6" t="n">
        <v>27</v>
      </c>
      <c r="D27" s="5" t="inlineStr">
        <is>
          <t>先做优先级 A（11 个），再做 B（14 个）和 C（2 个）</t>
        </is>
      </c>
    </row>
    <row r="28">
      <c r="A28" s="5" t="inlineStr">
        <is>
          <t>表 2：必核变体已核对</t>
        </is>
      </c>
      <c r="B28" s="6">
        <f>COUNTIFS('2_TableA1核对'!A2:A147,"必核",'2_TableA1核对'!P2:P147,"是")</f>
        <v/>
      </c>
      <c r="C28" s="6" t="n">
        <v>63</v>
      </c>
      <c r="D28" s="5" t="inlineStr">
        <is>
          <t>方案 B 的最低核对范围</t>
        </is>
      </c>
    </row>
    <row r="29">
      <c r="A29" s="5" t="inlineStr">
        <is>
          <t>表 2：建议核变体已核对</t>
        </is>
      </c>
      <c r="B29" s="6">
        <f>COUNTIFS('2_TableA1核对'!A2:A147,"建议核",'2_TableA1核对'!P2:P147,"是")</f>
        <v/>
      </c>
      <c r="C29" s="6" t="n">
        <v>56</v>
      </c>
      <c r="D29" s="5" t="inlineStr">
        <is>
          <t>方案 A（推荐）需要全部完成</t>
        </is>
      </c>
    </row>
    <row r="30">
      <c r="A30" s="5" t="inlineStr">
        <is>
          <t>表 3：Table 4 已核对</t>
        </is>
      </c>
      <c r="B30" s="6">
        <f>COUNTIF('3_Table4核对'!O2:O11,"是")</f>
        <v/>
      </c>
      <c r="C30" s="6" t="n">
        <v>10</v>
      </c>
      <c r="D30" s="5" t="inlineStr"/>
    </row>
    <row r="31">
      <c r="A31" s="5" t="inlineStr">
        <is>
          <t>表 4：S2 已核对</t>
        </is>
      </c>
      <c r="B31" s="6">
        <f>COUNTIF('4_S2核对'!M2:M25,"是")</f>
        <v/>
      </c>
      <c r="C31" s="6" t="n">
        <v>24</v>
      </c>
      <c r="D31" s="5" t="inlineStr"/>
    </row>
    <row r="32">
      <c r="A32" s="5" t="inlineStr">
        <is>
          <t>表 5：S105 证据已核对</t>
        </is>
      </c>
      <c r="B32" s="6">
        <f>COUNTIF('5_S105证据核对'!L2:L14,"是")</f>
        <v/>
      </c>
      <c r="C32" s="6" t="n">
        <v>13</v>
      </c>
      <c r="D32" s="5" t="inlineStr"/>
    </row>
    <row r="33">
      <c r="A33" s="5" t="inlineStr">
        <is>
          <t>表 7：必核陈述已填核对结论</t>
        </is>
      </c>
      <c r="B33" s="6">
        <f>COUNTIFS('7_正文陈述核对'!A2:A118,"必核",'7_正文陈述核对'!M2:M118,"&lt;&gt;")</f>
        <v/>
      </c>
      <c r="C33" s="6" t="n">
        <v>72</v>
      </c>
      <c r="D33" s="5" t="inlineStr">
        <is>
          <t>方案 B 的最低核对范围</t>
        </is>
      </c>
    </row>
    <row r="34">
      <c r="A34" s="5" t="inlineStr">
        <is>
          <t>表 7：建议核陈述已填核对结论</t>
        </is>
      </c>
      <c r="B34" s="6">
        <f>COUNTIFS('7_正文陈述核对'!A2:A118,"建议核",'7_正文陈述核对'!M2:M118,"&lt;&gt;")</f>
        <v/>
      </c>
      <c r="C34" s="6" t="n">
        <v>29</v>
      </c>
      <c r="D34" s="5" t="inlineStr">
        <is>
          <t>方案 A（推荐）需要全部完成</t>
        </is>
      </c>
    </row>
    <row r="35">
      <c r="A35" s="5" t="inlineStr">
        <is>
          <t>表 8：必核参考文献已核对</t>
        </is>
      </c>
      <c r="B35" s="6">
        <f>COUNTIFS('8_参考文献核对'!B2:B124,"必核",'8_参考文献核对'!M2:M124,"是")</f>
        <v/>
      </c>
      <c r="C35" s="6" t="n">
        <v>33</v>
      </c>
      <c r="D35" s="5" t="inlineStr">
        <is>
          <t>方案 B 的最低核对范围</t>
        </is>
      </c>
    </row>
    <row r="36">
      <c r="A36" s="5" t="inlineStr">
        <is>
          <t>表 8：建议核参考文献已核对</t>
        </is>
      </c>
      <c r="B36" s="6">
        <f>COUNTIFS('8_参考文献核对'!B2:B124,"建议核",'8_参考文献核对'!M2:M124,"是")</f>
        <v/>
      </c>
      <c r="C36" s="6" t="n">
        <v>90</v>
      </c>
      <c r="D36" s="5" t="inlineStr">
        <is>
          <t>可在逐篇读原文时顺带核对</t>
        </is>
      </c>
    </row>
    <row r="37">
      <c r="A37" s="5" t="inlineStr">
        <is>
          <t>表 9：必核线索已填类别判断</t>
        </is>
      </c>
      <c r="B37" s="6">
        <f>COUNTIFS('9_S1线索核对'!A2:A75,"必核",'9_S1线索核对'!N2:N75,"&lt;&gt;")</f>
        <v/>
      </c>
      <c r="C37" s="6" t="n">
        <v>9</v>
      </c>
      <c r="D37" s="5" t="inlineStr">
        <is>
          <t>方案 B 的最低核对范围</t>
        </is>
      </c>
    </row>
    <row r="38">
      <c r="A38" s="5" t="inlineStr">
        <is>
          <t>表 9：建议核线索已填类别判断</t>
        </is>
      </c>
      <c r="B38" s="6">
        <f>COUNTIFS('9_S1线索核对'!A2:A75,"建议核",'9_S1线索核对'!N2:N75,"&lt;&gt;")</f>
        <v/>
      </c>
      <c r="C38" s="6" t="n">
        <v>65</v>
      </c>
      <c r="D38" s="5" t="inlineStr">
        <is>
          <t>只看标题和摘要</t>
        </is>
      </c>
    </row>
  </sheetData>
  <mergeCells count="20">
    <mergeCell ref="A5:D5"/>
    <mergeCell ref="A17:D17"/>
    <mergeCell ref="A23:D23"/>
    <mergeCell ref="A8:D8"/>
    <mergeCell ref="A22:D22"/>
    <mergeCell ref="A20:D20"/>
    <mergeCell ref="A19:D19"/>
    <mergeCell ref="A10:D10"/>
    <mergeCell ref="A13:D13"/>
    <mergeCell ref="A9:D9"/>
    <mergeCell ref="A15:D15"/>
    <mergeCell ref="A24:D24"/>
    <mergeCell ref="A11:D11"/>
    <mergeCell ref="A6:D6"/>
    <mergeCell ref="A7:D7"/>
    <mergeCell ref="A16:D16"/>
    <mergeCell ref="A3:D3"/>
    <mergeCell ref="A21:D21"/>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5" customWidth="1" min="2" max="2"/>
    <col width="9" customWidth="1" min="3" max="3"/>
    <col width="16" customWidth="1" min="4" max="4"/>
    <col width="7" customWidth="1" min="5" max="5"/>
    <col width="20" customWidth="1" min="6" max="6"/>
    <col width="12" customWidth="1" min="7" max="7"/>
    <col width="40" customWidth="1" min="8" max="8"/>
    <col width="16" customWidth="1" min="9" max="9"/>
    <col width="30" customWidth="1" min="10" max="10"/>
    <col width="30" customWidth="1" min="11" max="11"/>
    <col width="24" customWidth="1" min="12" max="12"/>
    <col width="7" customWidth="1" min="13" max="13"/>
    <col width="7" customWidth="1" min="14" max="14"/>
    <col width="8" customWidth="1" min="15" max="15"/>
    <col width="9" customWidth="1" min="16" max="16"/>
    <col width="7" customWidth="1" min="17" max="17"/>
    <col width="8" customWidth="1" min="18" max="18"/>
    <col width="9" customWidth="1" min="19" max="19"/>
    <col width="7" customWidth="1" min="20" max="20"/>
    <col width="8" customWidth="1" min="21" max="21"/>
    <col width="9" customWidth="1" min="22" max="22"/>
    <col width="7" customWidth="1" min="23" max="23"/>
    <col width="8" customWidth="1" min="24" max="24"/>
    <col width="10" customWidth="1" min="25" max="25"/>
    <col width="9" customWidth="1" min="26" max="26"/>
    <col width="10" customWidth="1" min="27" max="27"/>
    <col width="11" customWidth="1" min="28" max="28"/>
    <col width="14" customWidth="1" min="29" max="29"/>
    <col width="95" customWidth="1" min="30" max="30"/>
    <col width="9" customWidth="1" min="31" max="31"/>
    <col width="9" customWidth="1" min="32" max="32"/>
    <col width="11" customWidth="1" min="33" max="33"/>
  </cols>
  <sheetData>
    <row r="1" ht="42" customHeight="1">
      <c r="A1" s="7" t="inlineStr">
        <is>
          <t>优先级</t>
        </is>
      </c>
      <c r="B1" s="7" t="inlineStr">
        <is>
          <t>案例</t>
        </is>
      </c>
      <c r="C1" s="7" t="inlineStr">
        <is>
          <t>变体ID</t>
        </is>
      </c>
      <c r="D1" s="7" t="inlineStr">
        <is>
          <t>研究</t>
        </is>
      </c>
      <c r="E1" s="7" t="inlineStr">
        <is>
          <t>类型</t>
        </is>
      </c>
      <c r="F1" s="7" t="inlineStr">
        <is>
          <t>变体名称</t>
        </is>
      </c>
      <c r="G1" s="7" t="inlineStr">
        <is>
          <t>需复核字段</t>
        </is>
      </c>
      <c r="H1" s="7" t="inlineStr">
        <is>
          <t>问题说明（审核记录）</t>
        </is>
      </c>
      <c r="I1" s="7" t="inlineStr">
        <is>
          <t>AI 审核情况</t>
        </is>
      </c>
      <c r="J1" s="7" t="inlineStr">
        <is>
          <t>本地原文（项目文件夹内）</t>
        </is>
      </c>
      <c r="K1" s="7" t="inlineStr">
        <is>
          <t>备用：盲审副本</t>
        </is>
      </c>
      <c r="L1" s="7" t="inlineStr">
        <is>
          <t>页码/位置</t>
        </is>
      </c>
      <c r="M1" s="7" t="inlineStr">
        <is>
          <t>AI 把握度</t>
        </is>
      </c>
      <c r="N1" s="7" t="inlineStr">
        <is>
          <t>主层
v1.6</t>
        </is>
      </c>
      <c r="O1" s="7" t="inlineStr">
        <is>
          <t>主层
AI 建议</t>
        </is>
      </c>
      <c r="P1" s="8" t="inlineStr">
        <is>
          <t>主层
你的最终 ✎</t>
        </is>
      </c>
      <c r="Q1" s="7" t="inlineStr">
        <is>
          <t>次层
v1.6</t>
        </is>
      </c>
      <c r="R1" s="7" t="inlineStr">
        <is>
          <t>次层
AI 建议</t>
        </is>
      </c>
      <c r="S1" s="8" t="inlineStr">
        <is>
          <t>次层
你的最终 ✎</t>
        </is>
      </c>
      <c r="T1" s="7" t="inlineStr">
        <is>
          <t>主机制
v1.6</t>
        </is>
      </c>
      <c r="U1" s="7" t="inlineStr">
        <is>
          <t>主机制
AI 建议</t>
        </is>
      </c>
      <c r="V1" s="8" t="inlineStr">
        <is>
          <t>主机制
你的最终 ✎</t>
        </is>
      </c>
      <c r="W1" s="7" t="inlineStr">
        <is>
          <t>次机制
v1.6</t>
        </is>
      </c>
      <c r="X1" s="7" t="inlineStr">
        <is>
          <t>次机制
AI 建议</t>
        </is>
      </c>
      <c r="Y1" s="8" t="inlineStr">
        <is>
          <t>次机制
你的最终（可选）✎</t>
        </is>
      </c>
      <c r="Z1" s="7" t="inlineStr">
        <is>
          <t>证据范围
v1.6</t>
        </is>
      </c>
      <c r="AA1" s="7" t="inlineStr">
        <is>
          <t>证据范围
AI 建议</t>
        </is>
      </c>
      <c r="AB1" s="8" t="inlineStr">
        <is>
          <t>证据范围
你的最终 ✎</t>
        </is>
      </c>
      <c r="AC1" s="8" t="inlineStr">
        <is>
          <t>裁决结论 ✎</t>
        </is>
      </c>
      <c r="AD1" s="8" t="inlineStr">
        <is>
          <t>理由与原文页码 ✎</t>
        </is>
      </c>
      <c r="AE1" s="8" t="inlineStr">
        <is>
          <t>已打开原文核对 ✎</t>
        </is>
      </c>
      <c r="AF1" s="8" t="inlineStr">
        <is>
          <t>裁决人 ✎</t>
        </is>
      </c>
      <c r="AG1" s="8" t="inlineStr">
        <is>
          <t>日期 ✎</t>
        </is>
      </c>
    </row>
    <row r="2" ht="75" customHeight="1">
      <c r="A2" s="9" t="inlineStr">
        <is>
          <t>A</t>
        </is>
      </c>
      <c r="B2" s="10" t="inlineStr">
        <is>
          <t>R03</t>
        </is>
      </c>
      <c r="C2" s="10" t="inlineStr">
        <is>
          <t>S038-M3</t>
        </is>
      </c>
      <c r="D2" s="10" t="inlineStr">
        <is>
          <t>Martinelli et al., 2014</t>
        </is>
      </c>
      <c r="E2" s="10" t="inlineStr">
        <is>
          <t>传统</t>
        </is>
      </c>
      <c r="F2" s="10" t="inlineStr">
        <is>
          <t>Heuristic one-label pricing with exact fallback</t>
        </is>
      </c>
      <c r="G2" s="10" t="inlineStr">
        <is>
          <t>main_layer|secondary_layers|mechanism_secondary</t>
        </is>
      </c>
      <c r="H2" s="10" t="inlineStr">
        <is>
          <t>一标签规则会删除未生成路径的中间状态，本提案主层 L4；旧编码侧重启发式/精确调用切换而选 L3。请先明确方法单位再裁定。</t>
        </is>
      </c>
      <c r="I2" s="10" t="inlineStr">
        <is>
          <t>本轮 AI 已对照原文页面图像复查</t>
        </is>
      </c>
      <c r="J2" s="10" t="inlineStr">
        <is>
          <t>02_参考文献/论文全文/S038_Martinelli_2014.pdf</t>
        </is>
      </c>
      <c r="K2" s="10" t="inlineStr">
        <is>
          <t>02_参考文献/论文全文/S038_Martinelli_2014.pdf</t>
        </is>
      </c>
      <c r="L2" s="10" t="inlineStr">
        <is>
          <t>PDF pp.17–18, §4.3 (visual); pp.21–24, §7–7.3 (visual)</t>
        </is>
      </c>
      <c r="M2" s="10" t="inlineStr">
        <is>
          <t>MEDIUM</t>
        </is>
      </c>
      <c r="N2" s="10" t="inlineStr">
        <is>
          <t>L3</t>
        </is>
      </c>
      <c r="O2" s="11" t="inlineStr">
        <is>
          <t>L4</t>
        </is>
      </c>
      <c r="P2" s="12" t="str">
        <v>L4</v>
      </c>
      <c r="Q2" s="10" t="inlineStr">
        <is>
          <t>L5</t>
        </is>
      </c>
      <c r="R2" s="11" t="inlineStr">
        <is>
          <t>L3</t>
        </is>
      </c>
      <c r="S2" s="12" t="str">
        <v>L3</v>
      </c>
      <c r="T2" s="10" t="inlineStr">
        <is>
          <t>G2</t>
        </is>
      </c>
      <c r="U2" s="10" t="inlineStr">
        <is>
          <t>G2</t>
        </is>
      </c>
      <c r="V2" s="12" t="inlineStr"/>
      <c r="W2" s="10" t="inlineStr">
        <is>
          <t>NONE</t>
        </is>
      </c>
      <c r="X2" s="11" t="inlineStr">
        <is>
          <t>G4</t>
        </is>
      </c>
      <c r="Y2" s="12" t="inlineStr"/>
      <c r="Z2" s="10" t="inlineStr">
        <is>
          <t>E2</t>
        </is>
      </c>
      <c r="AA2" s="10" t="inlineStr">
        <is>
          <t>E2</t>
        </is>
      </c>
      <c r="AB2" s="12" t="inlineStr"/>
      <c r="AC2" s="12" t="str">
        <v>部分采用AI建议</v>
      </c>
      <c r="AD2" s="12" t="str">
        <v>D054 次层：L3
D076 主层：L4
D054 PDF 16–19, 21–22；§4.3; §5; §7
D076 PDF 16–19, 21–22；§4.3; §5; §7
仅填写已裁决字段；其余空白不表示批准旧 AI 建议。</v>
      </c>
      <c r="AE2" s="12" t="inlineStr"/>
      <c r="AF2" s="12" t="str">
        <v>Codex（依据作者裁决）</v>
      </c>
      <c r="AG2" s="12" t="str">
        <v>2026-10-15</v>
      </c>
    </row>
    <row r="3">
      <c r="A3" s="9" t="inlineStr">
        <is>
          <t>A</t>
        </is>
      </c>
      <c r="B3" s="10" t="inlineStr">
        <is>
          <t>R04</t>
        </is>
      </c>
      <c r="C3" s="10" t="inlineStr">
        <is>
          <t>S096-M1</t>
        </is>
      </c>
      <c r="D3" s="10" t="inlineStr">
        <is>
          <t>Ermağan et al., 2024</t>
        </is>
      </c>
      <c r="E3" s="10" t="inlineStr">
        <is>
          <t>学习引导</t>
        </is>
      </c>
      <c r="F3" s="10" t="inlineStr">
        <is>
          <t>Main algorithm described in the paper; distinguish any separately reported setting</t>
        </is>
      </c>
      <c r="G3" s="10" t="inlineStr">
        <is>
          <t>secondary_layers|empirical_scope</t>
        </is>
      </c>
      <c r="H3" s="10" t="inlineStr">
        <is>
          <t>检查离线分类指标是否属于本行实际部署的标签预测模型。若属于，可同时记录 E0；删除一般性的后续层标签是否合适也需确认。</t>
        </is>
      </c>
      <c r="I3" s="10" t="inlineStr">
        <is>
          <t>本轮 AI 已对照原文复查</t>
        </is>
      </c>
      <c r="J3" s="10" t="inlineStr">
        <is>
          <t>02_参考文献/论文全文/S096_Ermagan_2024.pdf</t>
        </is>
      </c>
      <c r="K3" s="10" t="inlineStr">
        <is>
          <t>02_参考文献/论文全文/S096_Ermagan_2024.pdf</t>
        </is>
      </c>
      <c r="L3" s="10" t="inlineStr">
        <is>
          <t>PDF p.6, §3.2; p.8, §4.1; p.10, §4.1.3; p.15, §6.4.1</t>
        </is>
      </c>
      <c r="M3" s="10" t="inlineStr">
        <is>
          <t>HIGH</t>
        </is>
      </c>
      <c r="N3" s="10" t="inlineStr">
        <is>
          <t>L4</t>
        </is>
      </c>
      <c r="O3" s="10" t="inlineStr">
        <is>
          <t>L4</t>
        </is>
      </c>
      <c r="P3" s="12" t="inlineStr"/>
      <c r="Q3" s="10" t="inlineStr">
        <is>
          <t>L5|L6</t>
        </is>
      </c>
      <c r="R3" s="11" t="inlineStr">
        <is>
          <t>NONE</t>
        </is>
      </c>
      <c r="S3" s="12" t="inlineStr"/>
      <c r="T3" s="10" t="inlineStr">
        <is>
          <t>G5</t>
        </is>
      </c>
      <c r="U3" s="10" t="inlineStr">
        <is>
          <t>G5</t>
        </is>
      </c>
      <c r="V3" s="12" t="inlineStr"/>
      <c r="W3" s="10" t="inlineStr">
        <is>
          <t>NONE</t>
        </is>
      </c>
      <c r="X3" s="10" t="inlineStr">
        <is>
          <t>NONE</t>
        </is>
      </c>
      <c r="Y3" s="12" t="inlineStr"/>
      <c r="Z3" s="10" t="inlineStr">
        <is>
          <t>E2</t>
        </is>
      </c>
      <c r="AA3" s="11" t="inlineStr">
        <is>
          <t>E0|E2</t>
        </is>
      </c>
      <c r="AB3" s="12" t="inlineStr"/>
      <c r="AC3" s="12" t="inlineStr"/>
      <c r="AD3" s="12" t="inlineStr"/>
      <c r="AE3" s="12" t="inlineStr"/>
      <c r="AF3" s="12" t="inlineStr"/>
      <c r="AG3" s="12" t="inlineStr"/>
    </row>
    <row r="4" ht="75" customHeight="1">
      <c r="A4" s="9" t="inlineStr">
        <is>
          <t>A</t>
        </is>
      </c>
      <c r="B4" s="10" t="inlineStr">
        <is>
          <t>R05</t>
        </is>
      </c>
      <c r="C4" s="10" t="inlineStr">
        <is>
          <t>S102-M1</t>
        </is>
      </c>
      <c r="D4" s="10" t="inlineStr">
        <is>
          <t>Zhang et al., 2026</t>
        </is>
      </c>
      <c r="E4" s="10" t="inlineStr">
        <is>
          <t>传统</t>
        </is>
      </c>
      <c r="F4" s="10" t="inlineStr">
        <is>
          <t>CSDW-S selective Phase-II Tier E / Tier D / exact coverage cascade</t>
        </is>
      </c>
      <c r="G4" s="10" t="inlineStr">
        <is>
          <t>secondary_layers|mechanism_secondary|empirical_scope</t>
        </is>
      </c>
      <c r="H4" s="10" t="inlineStr">
        <is>
          <t>保留 E2/E4。请判断是否存在专门的非根节点组件结果，而非仅在完整树内运行该组件。不要把未解出实例当成最优性证明成功。</t>
        </is>
      </c>
      <c r="I4" s="10" t="inlineStr">
        <is>
          <t>沿用此前 AI 审核，本轮未重读原文</t>
        </is>
      </c>
      <c r="J4" s="10" t="inlineStr">
        <is>
          <t>02_参考文献/论文全文/CL002_Zhang_2026.pdf</t>
        </is>
      </c>
      <c r="K4" s="10" t="inlineStr">
        <is>
          <t>02_参考文献/论文全文/CL002_Zhang_2026.pdf</t>
        </is>
      </c>
      <c r="L4" s="10" t="inlineStr">
        <is>
          <t>PDF pp.10–11, Assumption1 and Propositions1–2; p.16, Algorithm1; pp.20–22, §6.2</t>
        </is>
      </c>
      <c r="M4" s="10" t="inlineStr">
        <is>
          <t>MEDIUM</t>
        </is>
      </c>
      <c r="N4" s="10" t="inlineStr">
        <is>
          <t>L3</t>
        </is>
      </c>
      <c r="O4" s="10" t="inlineStr">
        <is>
          <t>L3</t>
        </is>
      </c>
      <c r="P4" s="12" t="inlineStr"/>
      <c r="Q4" s="10" t="inlineStr">
        <is>
          <t>L2|L4|L6</t>
        </is>
      </c>
      <c r="R4" s="11" t="inlineStr">
        <is>
          <t>L4</t>
        </is>
      </c>
      <c r="S4" s="12" t="str">
        <v>L4</v>
      </c>
      <c r="T4" s="10" t="inlineStr">
        <is>
          <t>G4</t>
        </is>
      </c>
      <c r="U4" s="10" t="inlineStr">
        <is>
          <t>G4</t>
        </is>
      </c>
      <c r="V4" s="12" t="inlineStr"/>
      <c r="W4" s="10" t="inlineStr">
        <is>
          <t>G2 exact fallback/proposal recovery; G3-like safe avoidance of calls is supported by G4 relaxation endpoints, not a learned deletion rule</t>
        </is>
      </c>
      <c r="X4" s="11" t="inlineStr">
        <is>
          <t>G2</t>
        </is>
      </c>
      <c r="Y4" s="12" t="inlineStr"/>
      <c r="Z4" s="10" t="inlineStr">
        <is>
          <t>E2|E3|E4</t>
        </is>
      </c>
      <c r="AA4" s="11" t="inlineStr">
        <is>
          <t>E2|E4</t>
        </is>
      </c>
      <c r="AB4" s="12" t="inlineStr"/>
      <c r="AC4" s="12" t="str">
        <v>无法判断</v>
      </c>
      <c r="AD4" s="12" t="str">
        <v>D074 次层：L4
D105 证据范围：未确定。原值只作历史记录，暂不覆盖源文件。
D074 PDF 8–14;16;19–22；Assumption1;Propositions1–3;Theorem4;Algorithm1;Table2
D105 PDF 8–14;16;19–22；Assumption1;Propositions1–3;Theorem4;Algorithm1;Table2
仅填写已裁决字段；其余空白不表示批准旧 AI 建议。</v>
      </c>
      <c r="AE4" s="12" t="inlineStr"/>
      <c r="AF4" s="12" t="str">
        <v>Codex（依据作者裁决）</v>
      </c>
      <c r="AG4" s="12" t="str">
        <v>2026-10-15</v>
      </c>
    </row>
    <row r="5" ht="60" customHeight="1">
      <c r="A5" s="9" t="inlineStr">
        <is>
          <t>A</t>
        </is>
      </c>
      <c r="B5" s="10" t="inlineStr">
        <is>
          <t>R06</t>
        </is>
      </c>
      <c r="C5" s="10" t="inlineStr">
        <is>
          <t>S065-M1</t>
        </is>
      </c>
      <c r="D5" s="10" t="inlineStr">
        <is>
          <t>Minoli et al., 2026</t>
        </is>
      </c>
      <c r="E5" s="10" t="inlineStr">
        <is>
          <t>学习引导</t>
        </is>
      </c>
      <c r="F5" s="10" t="inlineStr">
        <is>
          <t>Promising-First Node (PFN), deviation features, tau=.2,k=10</t>
        </is>
      </c>
      <c r="G5" s="10" t="inlineStr">
        <is>
          <t>empirical_scope</t>
        </is>
      </c>
      <c r="H5" s="10" t="inlineStr">
        <is>
          <t>离线分类指标与抽中变体的 tau=.2、k=10 设置不同。请决定能否跨阈值继承 E0，并将这一规则用于其他方法。</t>
        </is>
      </c>
      <c r="I5" s="10" t="inlineStr">
        <is>
          <t>沿用此前 AI 审核，本轮未重读原文</t>
        </is>
      </c>
      <c r="J5" s="10" t="inlineStr">
        <is>
          <t>02_参考文献/论文全文/S065_Minoli_2026.pdf</t>
        </is>
      </c>
      <c r="K5" s="10" t="inlineStr">
        <is>
          <t>02_参考文献/论文全文/S065_Minoli_2026.pdf</t>
        </is>
      </c>
      <c r="L5" s="10" t="inlineStr">
        <is>
          <t>PDF p.10, §4 and Algorithm2 description; pp.16–17, §7.1–7.2; pp.24–26, Tables6–8</t>
        </is>
      </c>
      <c r="M5" s="10" t="inlineStr">
        <is>
          <t>MEDIUM</t>
        </is>
      </c>
      <c r="N5" s="10" t="inlineStr">
        <is>
          <t>L5</t>
        </is>
      </c>
      <c r="O5" s="10" t="inlineStr">
        <is>
          <t>L5</t>
        </is>
      </c>
      <c r="P5" s="12" t="inlineStr"/>
      <c r="Q5" s="10" t="inlineStr">
        <is>
          <t>NONE</t>
        </is>
      </c>
      <c r="R5" s="10" t="inlineStr">
        <is>
          <t>NONE</t>
        </is>
      </c>
      <c r="S5" s="12" t="inlineStr"/>
      <c r="T5" s="10" t="inlineStr">
        <is>
          <t>G1</t>
        </is>
      </c>
      <c r="U5" s="10" t="inlineStr">
        <is>
          <t>G1</t>
        </is>
      </c>
      <c r="V5" s="12" t="inlineStr"/>
      <c r="W5" s="10" t="inlineStr">
        <is>
          <t>NONE</t>
        </is>
      </c>
      <c r="X5" s="10" t="inlineStr">
        <is>
          <t>NONE</t>
        </is>
      </c>
      <c r="Y5" s="12" t="inlineStr"/>
      <c r="Z5" s="10" t="inlineStr">
        <is>
          <t>E0|E1</t>
        </is>
      </c>
      <c r="AA5" s="11" t="inlineStr">
        <is>
          <t>E1</t>
        </is>
      </c>
      <c r="AB5" s="12" t="str">
        <v>E0|E1</v>
      </c>
      <c r="AC5" s="12" t="str">
        <v>保持v1.6编码</v>
      </c>
      <c r="AD5" s="12" t="str">
        <v>D043 证据范围：E0|E1（保留）
D043 PDF 10–12、17、21、23–28；§4；§7.2–7.5；Tables6–8；Figure8
仅填写已裁决字段；其余空白不表示批准旧 AI 建议。</v>
      </c>
      <c r="AE5" s="12" t="inlineStr"/>
      <c r="AF5" s="12" t="str">
        <v>Codex（依据作者裁决）</v>
      </c>
      <c r="AG5" s="12" t="str">
        <v>2026-10-15</v>
      </c>
    </row>
    <row r="6">
      <c r="A6" s="9" t="inlineStr">
        <is>
          <t>A</t>
        </is>
      </c>
      <c r="B6" s="10" t="inlineStr">
        <is>
          <t>R09</t>
        </is>
      </c>
      <c r="C6" s="10" t="inlineStr">
        <is>
          <t>S103-M2</t>
        </is>
      </c>
      <c r="D6" s="10" t="inlineStr">
        <is>
          <t>Chen et al., 2026</t>
        </is>
      </c>
      <c r="E6" s="10" t="inlineStr">
        <is>
          <t>传统</t>
        </is>
      </c>
      <c r="F6" s="10" t="inlineStr">
        <is>
          <t>BAC1: standalone Model1 branch-and-cut without extra cuts</t>
        </is>
      </c>
      <c r="G6" s="10" t="inlineStr">
        <is>
          <t>main_layer|mechanism_primary|GU_in_legacy_secondary_field</t>
        </is>
      </c>
      <c r="H6" s="10" t="inlineStr">
        <is>
          <t>BAC1 是定价内部的分支割搜索。若以内部搜索为对象，可考虑 L5/G1；若以 Model1 建模强化为对象，可考虑 L4/G4。E1 一致。</t>
        </is>
      </c>
      <c r="I6" s="10" t="inlineStr">
        <is>
          <t>本轮 AI 已对照原文复查</t>
        </is>
      </c>
      <c r="J6" s="10" t="inlineStr">
        <is>
          <t>02_参考文献/论文全文/CL014_Chen_2026.pdf</t>
        </is>
      </c>
      <c r="K6" s="10" t="inlineStr">
        <is>
          <t>02_参考文献/论文全文/CL014_Chen_2026.pdf</t>
        </is>
      </c>
      <c r="L6" s="10" t="inlineStr">
        <is>
          <t>PDF p.7, Model1; pp.20–22, §5.2 and Table4</t>
        </is>
      </c>
      <c r="M6" s="10" t="inlineStr">
        <is>
          <t>MEDIUM</t>
        </is>
      </c>
      <c r="N6" s="10" t="inlineStr">
        <is>
          <t>L4</t>
        </is>
      </c>
      <c r="O6" s="11" t="inlineStr">
        <is>
          <t>L5</t>
        </is>
      </c>
      <c r="P6" s="12" t="inlineStr"/>
      <c r="Q6" s="10" t="inlineStr">
        <is>
          <t>NONE</t>
        </is>
      </c>
      <c r="R6" s="10" t="inlineStr">
        <is>
          <t>NONE</t>
        </is>
      </c>
      <c r="S6" s="12" t="inlineStr"/>
      <c r="T6" s="10" t="inlineStr">
        <is>
          <t>G4</t>
        </is>
      </c>
      <c r="U6" s="11" t="inlineStr">
        <is>
          <t>G1</t>
        </is>
      </c>
      <c r="V6" s="12" t="inlineStr"/>
      <c r="W6" s="10" t="inlineStr">
        <is>
          <t>GU</t>
        </is>
      </c>
      <c r="X6" s="11" t="inlineStr">
        <is>
          <t>NONE</t>
        </is>
      </c>
      <c r="Y6" s="12" t="inlineStr"/>
      <c r="Z6" s="10" t="inlineStr">
        <is>
          <t>E1</t>
        </is>
      </c>
      <c r="AA6" s="10" t="inlineStr">
        <is>
          <t>E1</t>
        </is>
      </c>
      <c r="AB6" s="12" t="inlineStr"/>
      <c r="AC6" s="12" t="inlineStr"/>
      <c r="AD6" s="12" t="inlineStr"/>
      <c r="AE6" s="12" t="inlineStr"/>
      <c r="AF6" s="12" t="inlineStr"/>
      <c r="AG6" s="12" t="inlineStr"/>
    </row>
    <row r="7" ht="60" customHeight="1">
      <c r="A7" s="9" t="inlineStr">
        <is>
          <t>A</t>
        </is>
      </c>
      <c r="B7" s="10" t="inlineStr">
        <is>
          <t>R12</t>
        </is>
      </c>
      <c r="C7" s="10" t="inlineStr">
        <is>
          <t>S086-M1</t>
        </is>
      </c>
      <c r="D7" s="10" t="inlineStr">
        <is>
          <t>Tekil-Ergün and Çebi, 2026</t>
        </is>
      </c>
      <c r="E7" s="10" t="inlineStr">
        <is>
          <t>学习引导</t>
        </is>
      </c>
      <c r="F7" s="10" t="inlineStr">
        <is>
          <t>Main algorithm described in the paper; distinguish any separately reported setting</t>
        </is>
      </c>
      <c r="G7" s="10" t="inlineStr">
        <is>
          <t>mechanism_primary|documentation_status</t>
        </is>
      </c>
      <c r="H7" s="10" t="inlineStr">
        <is>
          <t>先明确 main 是 KM-3DCGBFO 还是 MLKM-3DCGBFO。原文对筛列、约束和停止的描述不足以唯一判断完整认证，暂记 UNRESOLVED。</t>
        </is>
      </c>
      <c r="I7" s="10" t="inlineStr">
        <is>
          <t>本轮 AI 已对照原文复查</t>
        </is>
      </c>
      <c r="J7" s="10" t="inlineStr">
        <is>
          <t>02_参考文献/论文全文/S086_TekilErgun_2026.pdf</t>
        </is>
      </c>
      <c r="K7" s="10" t="inlineStr">
        <is>
          <t>02_参考文献/论文全文/S086_TekilErgun_2026.pdf</t>
        </is>
      </c>
      <c r="L7" s="10" t="inlineStr">
        <is>
          <t>PDF pp.8–11, §4.2.1–4.2.3; p.16, Tables5–6</t>
        </is>
      </c>
      <c r="M7" s="10" t="inlineStr">
        <is>
          <t>LOW</t>
        </is>
      </c>
      <c r="N7" s="10" t="inlineStr">
        <is>
          <t>L6</t>
        </is>
      </c>
      <c r="O7" s="10" t="inlineStr">
        <is>
          <t>L6</t>
        </is>
      </c>
      <c r="P7" s="12" t="inlineStr"/>
      <c r="Q7" s="10" t="inlineStr">
        <is>
          <t>L4</t>
        </is>
      </c>
      <c r="R7" s="10" t="inlineStr">
        <is>
          <t>L4</t>
        </is>
      </c>
      <c r="S7" s="12" t="inlineStr"/>
      <c r="T7" s="10" t="inlineStr">
        <is>
          <t>G5</t>
        </is>
      </c>
      <c r="U7" s="11" t="inlineStr">
        <is>
          <t>UNASSIGNED（文档状态：无法确定）</t>
        </is>
      </c>
      <c r="V7" s="12" t="inlineStr"/>
      <c r="W7" s="10" t="inlineStr">
        <is>
          <t>NONE</t>
        </is>
      </c>
      <c r="X7" s="10" t="inlineStr">
        <is>
          <t>NONE</t>
        </is>
      </c>
      <c r="Y7" s="12" t="inlineStr"/>
      <c r="Z7" s="10" t="inlineStr">
        <is>
          <t>E2</t>
        </is>
      </c>
      <c r="AA7" s="10" t="inlineStr">
        <is>
          <t>E2</t>
        </is>
      </c>
      <c r="AB7" s="12" t="inlineStr"/>
      <c r="AC7" s="12" t="str">
        <v>无法判断</v>
      </c>
      <c r="AD7" s="12" t="str">
        <v>D089 变体描述；主机制：未确定。原值只作历史记录，暂不覆盖源文件。
D089 PDF 8–11;16;18；§4.2.1–4.2.3;伪代码;Tables5–6;§8
仅填写已裁决字段；其余空白不表示批准旧 AI 建议。</v>
      </c>
      <c r="AE7" s="12" t="inlineStr"/>
      <c r="AF7" s="12" t="str">
        <v>Codex（依据作者裁决）</v>
      </c>
      <c r="AG7" s="12" t="str">
        <v>2026-10-15</v>
      </c>
    </row>
    <row r="8" ht="60" customHeight="1">
      <c r="A8" s="9" t="inlineStr">
        <is>
          <t>A</t>
        </is>
      </c>
      <c r="B8" s="10" t="inlineStr">
        <is>
          <t>R13</t>
        </is>
      </c>
      <c r="C8" s="10" t="inlineStr">
        <is>
          <t>S062-M2</t>
        </is>
      </c>
      <c r="D8" s="10" t="inlineStr">
        <is>
          <t>You et al., 2026b</t>
        </is>
      </c>
      <c r="E8" s="10" t="inlineStr">
        <is>
          <t>学习引导</t>
        </is>
      </c>
      <c r="F8" s="10" t="inlineStr">
        <is>
          <t>2LBB-dy withBKF</t>
        </is>
      </c>
      <c r="G8" s="10" t="inlineStr">
        <is>
          <t>empirical_scope</t>
        </is>
      </c>
      <c r="H8" s="10" t="inlineStr">
        <is>
          <t>核实未附电子附录中的离线测试。先决定 Root、分支测试等分项计时的 E2/E3 规则。E4 与 G1 的主要判断一致。</t>
        </is>
      </c>
      <c r="I8" s="10" t="inlineStr">
        <is>
          <t>沿用此前 AI 审核，本轮未重读原文</t>
        </is>
      </c>
      <c r="J8" s="10" t="inlineStr">
        <is>
          <t>02_参考文献/论文全文/S062_You_2026.pdf</t>
        </is>
      </c>
      <c r="K8" s="10" t="inlineStr">
        <is>
          <t>02_参考文献/论文全文/S062_You_2026.pdf</t>
        </is>
      </c>
      <c r="L8" s="10" t="inlineStr">
        <is>
          <t>PDF p.7, §4.1; p.11, §4.4.4; p.15, §6.1 and Tables3–4 description; pp.17,20, cutoff interpretation and §6.3</t>
        </is>
      </c>
      <c r="M8" s="10" t="inlineStr">
        <is>
          <t>MEDIUM</t>
        </is>
      </c>
      <c r="N8" s="10" t="inlineStr">
        <is>
          <t>L1</t>
        </is>
      </c>
      <c r="O8" s="10" t="inlineStr">
        <is>
          <t>L1</t>
        </is>
      </c>
      <c r="P8" s="12" t="inlineStr"/>
      <c r="Q8" s="10" t="inlineStr">
        <is>
          <t>NONE</t>
        </is>
      </c>
      <c r="R8" s="10" t="inlineStr">
        <is>
          <t>NONE</t>
        </is>
      </c>
      <c r="S8" s="12" t="inlineStr"/>
      <c r="T8" s="10" t="inlineStr">
        <is>
          <t>G1</t>
        </is>
      </c>
      <c r="U8" s="10" t="inlineStr">
        <is>
          <t>G1</t>
        </is>
      </c>
      <c r="V8" s="12" t="inlineStr"/>
      <c r="W8" s="10" t="inlineStr">
        <is>
          <t>NONE</t>
        </is>
      </c>
      <c r="X8" s="10" t="inlineStr">
        <is>
          <t>NONE</t>
        </is>
      </c>
      <c r="Y8" s="12" t="inlineStr"/>
      <c r="Z8" s="10" t="inlineStr">
        <is>
          <t>E4</t>
        </is>
      </c>
      <c r="AA8" s="11" t="inlineStr">
        <is>
          <t>E2|E3|E4（不确定：E0）</t>
        </is>
      </c>
      <c r="AB8" s="12" t="inlineStr"/>
      <c r="AC8" s="12" t="str">
        <v>无法判断</v>
      </c>
      <c r="AD8" s="12" t="str">
        <v>D109 证据范围：未确定。原值只作历史记录，暂不覆盖源文件。
D109 PDF 7–11、14–16、21；§3.3–4.5；§6.1 Tables2–4；§6.3 Table10
仅填写已裁决字段；其余空白不表示批准旧 AI 建议。</v>
      </c>
      <c r="AE8" s="12" t="inlineStr"/>
      <c r="AF8" s="12" t="str">
        <v>Codex（依据作者裁决）</v>
      </c>
      <c r="AG8" s="12" t="str">
        <v>2026-10-15</v>
      </c>
    </row>
    <row r="9" ht="60" customHeight="1">
      <c r="A9" s="9" t="inlineStr">
        <is>
          <t>A</t>
        </is>
      </c>
      <c r="B9" s="10" t="inlineStr">
        <is>
          <t>R18</t>
        </is>
      </c>
      <c r="C9" s="10" t="inlineStr">
        <is>
          <t>S022-M3</t>
        </is>
      </c>
      <c r="D9" s="10" t="inlineStr">
        <is>
          <t>Michelini et al., 2026</t>
        </is>
      </c>
      <c r="E9" s="10" t="inlineStr">
        <is>
          <t>传统</t>
        </is>
      </c>
      <c r="F9" s="10" t="inlineStr">
        <is>
          <t>Offline irace configuration of complete BP policies</t>
        </is>
      </c>
      <c r="G9" s="10" t="inlineStr">
        <is>
          <t>main_layer|secondary_layers|mechanism_secondary|empirical_scope</t>
        </is>
      </c>
      <c r="H9" s="10" t="inlineStr">
        <is>
          <t>offline irace 行汇总了状态空间、列拼接、插列量和树遍历。建议明确主对象或拆分。离线配置不自动等于 E0，树实验不自动带出 E2/E3。</t>
        </is>
      </c>
      <c r="I9" s="10" t="inlineStr">
        <is>
          <t>沿用此前 AI 审核，本轮未重读原文</t>
        </is>
      </c>
      <c r="J9" s="10" t="inlineStr">
        <is>
          <t>02_参考文献/论文全文/S022_Michelini_2026.pdf</t>
        </is>
      </c>
      <c r="K9" s="10" t="inlineStr">
        <is>
          <t>02_参考文献/论文全文/S022_Michelini_2026.pdf</t>
        </is>
      </c>
      <c r="L9" s="10" t="inlineStr">
        <is>
          <t>PDF pp. 16–20, §3.2.4–4.1, Table 1；pp. 21–23, §4.2–4.3 的完整 B&amp;P 基准实验</t>
        </is>
      </c>
      <c r="M9" s="10" t="inlineStr">
        <is>
          <t>MEDIUM</t>
        </is>
      </c>
      <c r="N9" s="10" t="inlineStr">
        <is>
          <t>L3</t>
        </is>
      </c>
      <c r="O9" s="11" t="inlineStr">
        <is>
          <t>L4</t>
        </is>
      </c>
      <c r="P9" s="12" t="inlineStr"/>
      <c r="Q9" s="10" t="inlineStr">
        <is>
          <t>L1|L4|L6</t>
        </is>
      </c>
      <c r="R9" s="11" t="inlineStr">
        <is>
          <t>L1|L5|L6</t>
        </is>
      </c>
      <c r="S9" s="12" t="inlineStr"/>
      <c r="T9" s="10" t="inlineStr">
        <is>
          <t>G1</t>
        </is>
      </c>
      <c r="U9" s="10" t="inlineStr">
        <is>
          <t>G1</t>
        </is>
      </c>
      <c r="V9" s="12" t="inlineStr"/>
      <c r="W9" s="10" t="inlineStr">
        <is>
          <t>NONE</t>
        </is>
      </c>
      <c r="X9" s="11" t="inlineStr">
        <is>
          <t>G4</t>
        </is>
      </c>
      <c r="Y9" s="12" t="inlineStr"/>
      <c r="Z9" s="10" t="inlineStr">
        <is>
          <t>E2|E3|E4</t>
        </is>
      </c>
      <c r="AA9" s="11" t="inlineStr">
        <is>
          <t>E4</t>
        </is>
      </c>
      <c r="AB9" s="12" t="inlineStr"/>
      <c r="AC9" s="12" t="str">
        <v>无法判断</v>
      </c>
      <c r="AD9" s="12" t="str">
        <v>D080 变体描述；主层；次层：未确定。原值只作历史记录，暂不覆盖源文件。
D080 PDF PDF pp.17–23、33；§§3.3、4.1–4.2；Table 1；Appendix A
仅填写已裁决字段；其余空白不表示批准旧 AI 建议。</v>
      </c>
      <c r="AE9" s="12" t="inlineStr"/>
      <c r="AF9" s="12" t="str">
        <v>Codex（依据作者裁决）</v>
      </c>
      <c r="AG9" s="12" t="str">
        <v>2026-10-15</v>
      </c>
    </row>
    <row r="10" ht="75" customHeight="1">
      <c r="A10" s="9" t="inlineStr">
        <is>
          <t>A</t>
        </is>
      </c>
      <c r="B10" s="10" t="inlineStr">
        <is>
          <t>R19</t>
        </is>
      </c>
      <c r="C10" s="10" t="inlineStr">
        <is>
          <t>S089-M1</t>
        </is>
      </c>
      <c r="D10" s="10" t="inlineStr">
        <is>
          <t>Tahir et al., 2021</t>
        </is>
      </c>
      <c r="E10" s="10" t="inlineStr">
        <is>
          <t>学习引导</t>
        </is>
      </c>
      <c r="F10" s="10" t="inlineStr">
        <is>
          <t>CPBS internal pricing score and relaxed dominance</t>
        </is>
      </c>
      <c r="G10" s="10" t="inlineStr">
        <is>
          <t>main_layer|empirical_scope</t>
        </is>
      </c>
      <c r="H10" s="10" t="inlineStr">
        <is>
          <t>优先核查。CPBS 直接改变标签支配并保留更多标签；外层 I2CGp 不求 LP 最优，且为不完整整数搜索。本提案 L4/G1/E3，G1 只针对局部定价。</t>
        </is>
      </c>
      <c r="I10" s="10" t="inlineStr">
        <is>
          <t>本轮 AI 已对照原文复查</t>
        </is>
      </c>
      <c r="J10" s="10" t="inlineStr">
        <is>
          <t>02_参考文献/论文全文/S089_Tahir_2021.pdf</t>
        </is>
      </c>
      <c r="K10" s="10" t="inlineStr">
        <is>
          <t>02_参考文献/论文全文/S089_Tahir_2021.pdf</t>
        </is>
      </c>
      <c r="L10" s="10" t="inlineStr">
        <is>
          <t>PDF p. 13, §4.1 的停止规则；pp. 15–16, §4.2 的 CPBS 资源及 LP 未求解说明；pp. 17–18, §4.3, Tables 5–6</t>
        </is>
      </c>
      <c r="M10" s="10" t="inlineStr">
        <is>
          <t>MEDIUM</t>
        </is>
      </c>
      <c r="N10" s="10" t="inlineStr">
        <is>
          <t>L5</t>
        </is>
      </c>
      <c r="O10" s="11" t="inlineStr">
        <is>
          <t>L4</t>
        </is>
      </c>
      <c r="P10" s="12" t="str">
        <v>L4</v>
      </c>
      <c r="Q10" s="10" t="inlineStr">
        <is>
          <t>NONE</t>
        </is>
      </c>
      <c r="R10" s="10" t="inlineStr">
        <is>
          <t>NONE</t>
        </is>
      </c>
      <c r="S10" s="12" t="inlineStr"/>
      <c r="T10" s="10" t="inlineStr">
        <is>
          <t>G1</t>
        </is>
      </c>
      <c r="U10" s="10" t="inlineStr">
        <is>
          <t>G1</t>
        </is>
      </c>
      <c r="V10" s="12" t="inlineStr"/>
      <c r="W10" s="10" t="inlineStr">
        <is>
          <t>NONE</t>
        </is>
      </c>
      <c r="X10" s="10" t="inlineStr">
        <is>
          <t>NONE</t>
        </is>
      </c>
      <c r="Y10" s="12" t="inlineStr"/>
      <c r="Z10" s="10" t="inlineStr">
        <is>
          <t>E0|E2</t>
        </is>
      </c>
      <c r="AA10" s="11" t="inlineStr">
        <is>
          <t>E3</t>
        </is>
      </c>
      <c r="AB10" s="12" t="str">
        <v>E0|E2</v>
      </c>
      <c r="AC10" s="12" t="str">
        <v>部分采用AI建议</v>
      </c>
      <c r="AD10" s="12" t="str">
        <v>D016 主层：L4
D017 证据范围：E0|E2（保留）
D016 PDF 9–10;13;15–19；§3.3–3.4;Table4;§4.1–4.3;Tables6–7
D017 PDF 9–10;13;15–19；§3.3–3.4;Table4;§4.1–4.3;Tables6–7
仅填写已裁决字段；其余空白不表示批准旧 AI 建议。</v>
      </c>
      <c r="AE10" s="12" t="inlineStr"/>
      <c r="AF10" s="12" t="str">
        <v>Codex（依据作者裁决）</v>
      </c>
      <c r="AG10" s="12" t="str">
        <v>2026-10-15</v>
      </c>
    </row>
    <row r="11" ht="60" customHeight="1">
      <c r="A11" s="9" t="inlineStr">
        <is>
          <t>A</t>
        </is>
      </c>
      <c r="B11" s="10" t="inlineStr">
        <is>
          <t>R24</t>
        </is>
      </c>
      <c r="C11" s="10" t="inlineStr">
        <is>
          <t>S054-M1</t>
        </is>
      </c>
      <c r="D11" s="10" t="inlineStr">
        <is>
          <t>Chi et al., 2022</t>
        </is>
      </c>
      <c r="E11" s="10" t="inlineStr">
        <is>
          <t>学习引导</t>
        </is>
      </c>
      <c r="F11" s="10" t="inlineStr">
        <is>
          <t>RLCG one-column selection</t>
        </is>
      </c>
      <c r="G11" s="10" t="inlineStr">
        <is>
          <t>mechanism_primary|GU_in_legacy_secondary_field</t>
        </is>
      </c>
      <c r="H11" s="10" t="inlineStr">
        <is>
          <t>旧编码为 G2，本提案为 G1，因为每轮完整 SP 保留且没有独立启发式回退阶段。须核对负约化成本候选、重复列和进度保护细节后裁定。</t>
        </is>
      </c>
      <c r="I11" s="10" t="inlineStr">
        <is>
          <t>本轮 AI 已对照原文复查</t>
        </is>
      </c>
      <c r="J11" s="10" t="inlineStr">
        <is>
          <t>02_参考文献/论文全文/S054_Chi_2022.pdf</t>
        </is>
      </c>
      <c r="K11" s="10" t="inlineStr">
        <is>
          <t>02_参考文献/论文全文/S054_Chi_2022.pdf</t>
        </is>
      </c>
      <c r="L11" s="10" t="inlineStr">
        <is>
          <t>PDF pp. 4–6, §4, Figure 1, Algorithm 1；pp. 7–9, §5, Figures 3–7</t>
        </is>
      </c>
      <c r="M11" s="10" t="inlineStr">
        <is>
          <t>MEDIUM</t>
        </is>
      </c>
      <c r="N11" s="10" t="inlineStr">
        <is>
          <t>L6</t>
        </is>
      </c>
      <c r="O11" s="10" t="inlineStr">
        <is>
          <t>L6</t>
        </is>
      </c>
      <c r="P11" s="12" t="inlineStr"/>
      <c r="Q11" s="10" t="inlineStr">
        <is>
          <t>NONE</t>
        </is>
      </c>
      <c r="R11" s="10" t="inlineStr">
        <is>
          <t>NONE</t>
        </is>
      </c>
      <c r="S11" s="12" t="inlineStr"/>
      <c r="T11" s="10" t="inlineStr">
        <is>
          <t>G2</t>
        </is>
      </c>
      <c r="U11" s="11" t="inlineStr">
        <is>
          <t>G1</t>
        </is>
      </c>
      <c r="V11" s="12" t="inlineStr"/>
      <c r="W11" s="10" t="inlineStr">
        <is>
          <t>GU</t>
        </is>
      </c>
      <c r="X11" s="11" t="inlineStr">
        <is>
          <t>NONE</t>
        </is>
      </c>
      <c r="Y11" s="12" t="inlineStr"/>
      <c r="Z11" s="10" t="inlineStr">
        <is>
          <t>E2</t>
        </is>
      </c>
      <c r="AA11" s="10" t="inlineStr">
        <is>
          <t>E2</t>
        </is>
      </c>
      <c r="AB11" s="12" t="inlineStr"/>
      <c r="AC11" s="12" t="str">
        <v>无法判断</v>
      </c>
      <c r="AD11" s="12" t="str">
        <v>D093 主机制：未确定。原值只作历史记录，暂不覆盖源文件。
D093 PDF 2, 4–6, 9–10；§4; Fig.1; Algorithm 1; §§5.2–6
仅填写已裁决字段；其余空白不表示批准旧 AI 建议。</v>
      </c>
      <c r="AE11" s="12" t="inlineStr"/>
      <c r="AF11" s="12" t="str">
        <v>Codex（依据作者裁决）</v>
      </c>
      <c r="AG11" s="12" t="str">
        <v>2026-10-15</v>
      </c>
    </row>
    <row r="12" ht="62" customHeight="1">
      <c r="A12" s="9" t="inlineStr">
        <is>
          <t>A</t>
        </is>
      </c>
      <c r="B12" s="10" t="inlineStr">
        <is>
          <t>B03</t>
        </is>
      </c>
      <c r="C12" s="10" t="inlineStr">
        <is>
          <t>S066-M2</t>
        </is>
      </c>
      <c r="D12" s="10" t="inlineStr">
        <is>
          <t>You et al., 2026a</t>
        </is>
      </c>
      <c r="E12" s="10" t="inlineStr">
        <is>
          <t>学习引导</t>
        </is>
      </c>
      <c r="F12" s="10" t="inlineStr">
        <is>
          <t>L-PDDOI-Rec</t>
        </is>
      </c>
      <c r="G12" s="10" t="inlineStr">
        <is>
          <t>secondary_layers|empirical_scope</t>
        </is>
      </c>
      <c r="H12" s="10" t="inlineStr">
        <is>
          <t>恢复到基线 LP 界依赖解除预测限制，故 G2 主机制、G4 次机制。可用附录报告同一部署预测器的测试指标，建议补 E0。RouteOpt 根实验仍为 E2。</t>
        </is>
      </c>
      <c r="I12" s="10" t="inlineStr">
        <is>
          <t>沿用此前 AI 审核，本轮未重读原文</t>
        </is>
      </c>
      <c r="J12" s="10" t="inlineStr">
        <is>
          <t>02_参考文献/论文全文/S066_You_2026.pdf</t>
        </is>
      </c>
      <c r="K12" s="10" t="inlineStr">
        <is>
          <t>02_参考文献/论文全文/S066_You_2026.pdf</t>
        </is>
      </c>
      <c r="L12" s="10" t="inlineStr">
        <is>
          <t>PDF p. 8, Definition 1；pp. 13–16, §4.5, Algorithm 1, Proposition 3 and §5.1.3；pp. 18,22, Tables 2,7；pp. 28,31, Tables EC.2,EC.4；p. 35, Corollary EC.1</t>
        </is>
      </c>
      <c r="M12" s="10" t="inlineStr">
        <is>
          <t>HIGH</t>
        </is>
      </c>
      <c r="N12" s="10" t="inlineStr">
        <is>
          <t>L2</t>
        </is>
      </c>
      <c r="O12" s="10" t="inlineStr">
        <is>
          <t>L2</t>
        </is>
      </c>
      <c r="P12" s="12" t="inlineStr"/>
      <c r="Q12" s="10" t="inlineStr">
        <is>
          <t>L3</t>
        </is>
      </c>
      <c r="R12" s="11" t="inlineStr">
        <is>
          <t>NONE</t>
        </is>
      </c>
      <c r="S12" s="12" t="str">
        <v>NONE</v>
      </c>
      <c r="T12" s="10" t="inlineStr">
        <is>
          <t>G2</t>
        </is>
      </c>
      <c r="U12" s="10" t="inlineStr">
        <is>
          <t>G2</t>
        </is>
      </c>
      <c r="V12" s="12" t="inlineStr"/>
      <c r="W12" s="10" t="inlineStr">
        <is>
          <t>G4</t>
        </is>
      </c>
      <c r="X12" s="10" t="inlineStr">
        <is>
          <t>G4</t>
        </is>
      </c>
      <c r="Y12" s="12" t="inlineStr"/>
      <c r="Z12" s="10" t="inlineStr">
        <is>
          <t>E2</t>
        </is>
      </c>
      <c r="AA12" s="11" t="inlineStr">
        <is>
          <t>E0|E2</t>
        </is>
      </c>
      <c r="AB12" s="12" t="inlineStr"/>
      <c r="AC12" s="12" t="str">
        <v>部分采用AI建议</v>
      </c>
      <c r="AD12" s="12" t="str">
        <v>D070 次层：NONE
D070 PDF 8、13–16、18、28、31、35；Definition1；Algorithm1；Proposition3；Tables2、EC.2、EC.4；CorollaryEC.1
仅填写已裁决字段；其余空白不表示批准旧 AI 建议。</v>
      </c>
      <c r="AE12" s="12" t="inlineStr"/>
      <c r="AF12" s="12" t="str">
        <v>Codex（依据作者裁决）</v>
      </c>
      <c r="AG12" s="12" t="str">
        <v>2026-10-15</v>
      </c>
    </row>
    <row r="13" ht="60" customHeight="1">
      <c r="A13" s="13" t="inlineStr">
        <is>
          <t>B</t>
        </is>
      </c>
      <c r="B13" s="10" t="inlineStr">
        <is>
          <t>R01</t>
        </is>
      </c>
      <c r="C13" s="10" t="inlineStr">
        <is>
          <t>S105-M2</t>
        </is>
      </c>
      <c r="D13" s="10" t="inlineStr">
        <is>
          <t>Sadykov et al., 2019</t>
        </is>
      </c>
      <c r="E13" s="10" t="inlineStr">
        <is>
          <t>传统</t>
        </is>
      </c>
      <c r="F13" s="10" t="inlineStr">
        <is>
          <t>Diving for feasibility</t>
        </is>
      </c>
      <c r="G13" s="10" t="inlineStr">
        <is>
          <t>secondary_layers</t>
        </is>
      </c>
      <c r="H13" s="10" t="inlineStr">
        <is>
          <t>确认潜入过程直接固定的是已生成列变量还是隐式弧。主层 L1、G5、E3 保持一致；次层 L4/L6 需按实际操作判断。</t>
        </is>
      </c>
      <c r="I13" s="10" t="inlineStr">
        <is>
          <t>沿用此前 AI 审核，本轮未重读原文</t>
        </is>
      </c>
      <c r="J13" s="10" t="inlineStr">
        <is>
          <t>90_过程归档/大修_v1.5/fulltext/Sadykov/PDFs/Primal_Heuristics_for_Branch_and_Price.pdf</t>
        </is>
      </c>
      <c r="K13" s="10" t="inlineStr">
        <is>
          <t>90_过程归档/大修_v1.5/reliability/blind/sources/Primal_Heuristics_for_Branch_and_Price.pdf</t>
        </is>
      </c>
      <c r="L13" s="10" t="inlineStr">
        <is>
          <t>PDF pp.15–16, §5.2 and Fig.2(b); pp.22–24, §6.1 and Table5</t>
        </is>
      </c>
      <c r="M13" s="10" t="inlineStr">
        <is>
          <t>HIGH</t>
        </is>
      </c>
      <c r="N13" s="10" t="inlineStr">
        <is>
          <t>L1</t>
        </is>
      </c>
      <c r="O13" s="10" t="inlineStr">
        <is>
          <t>L1</t>
        </is>
      </c>
      <c r="P13" s="12" t="inlineStr"/>
      <c r="Q13" s="10" t="inlineStr">
        <is>
          <t>L4</t>
        </is>
      </c>
      <c r="R13" s="11" t="inlineStr">
        <is>
          <t>L6</t>
        </is>
      </c>
      <c r="S13" s="12" t="str">
        <v>L6</v>
      </c>
      <c r="T13" s="10" t="inlineStr">
        <is>
          <t>G5</t>
        </is>
      </c>
      <c r="U13" s="10" t="inlineStr">
        <is>
          <t>G5</t>
        </is>
      </c>
      <c r="V13" s="12" t="inlineStr"/>
      <c r="W13" s="10" t="inlineStr">
        <is>
          <t>NONE</t>
        </is>
      </c>
      <c r="X13" s="10" t="inlineStr">
        <is>
          <t>NONE</t>
        </is>
      </c>
      <c r="Y13" s="12" t="inlineStr"/>
      <c r="Z13" s="10" t="inlineStr">
        <is>
          <t>E3</t>
        </is>
      </c>
      <c r="AA13" s="10" t="inlineStr">
        <is>
          <t>E3</t>
        </is>
      </c>
      <c r="AB13" s="12" t="inlineStr"/>
      <c r="AC13" s="12" t="str">
        <v>部分采用AI建议</v>
      </c>
      <c r="AD13" s="12" t="str">
        <v>D019 次层：L6
D019 PDF 15–16;22–24;28–30；§5.2;Table2;Fig.2(b);§6;Tables5,8,9
仅填写已裁决字段；其余空白不表示批准旧 AI 建议。</v>
      </c>
      <c r="AE13" s="12" t="inlineStr"/>
      <c r="AF13" s="12" t="str">
        <v>Codex（依据作者裁决）</v>
      </c>
      <c r="AG13" s="12" t="str">
        <v>2026-10-15</v>
      </c>
    </row>
    <row r="14" ht="60" customHeight="1">
      <c r="A14" s="13" t="inlineStr">
        <is>
          <t>B</t>
        </is>
      </c>
      <c r="B14" s="10" t="inlineStr">
        <is>
          <t>R02</t>
        </is>
      </c>
      <c r="C14" s="10" t="inlineStr">
        <is>
          <t>S044-M1</t>
        </is>
      </c>
      <c r="D14" s="10" t="inlineStr">
        <is>
          <t>Irnich et al., 2010</t>
        </is>
      </c>
      <c r="E14" s="10" t="inlineStr">
        <is>
          <t>传统</t>
        </is>
      </c>
      <c r="F14" s="10" t="inlineStr">
        <is>
          <t>Path-reduced-cost arc elimination in routing BPC</t>
        </is>
      </c>
      <c r="G14" s="10" t="inlineStr">
        <is>
          <t>secondary_layers</t>
        </is>
      </c>
      <c r="H14" s="10" t="inlineStr">
        <is>
          <t>主层和主机制一致。决定是否把完整 BPC 中单列的非根节点耗时算 E3，并统一所有样本的分项计时规则。</t>
        </is>
      </c>
      <c r="I14" s="10" t="inlineStr">
        <is>
          <t>本轮 AI 已对照原文复查</t>
        </is>
      </c>
      <c r="J14" s="10" t="inlineStr">
        <is>
          <t>02_参考文献/论文全文/S044_Irnich_2010.pdf</t>
        </is>
      </c>
      <c r="K14" s="10" t="inlineStr">
        <is>
          <t>02_参考文献/论文全文/S044_Irnich_2010.pdf</t>
        </is>
      </c>
      <c r="L14" s="10" t="inlineStr">
        <is>
          <t>PDF p.4, §3 and Eqs.(4)–(5); p.13, §6; p.16, §6.3 and Table2 explanation</t>
        </is>
      </c>
      <c r="M14" s="10" t="inlineStr">
        <is>
          <t>MEDIUM</t>
        </is>
      </c>
      <c r="N14" s="10" t="inlineStr">
        <is>
          <t>L4</t>
        </is>
      </c>
      <c r="O14" s="10" t="inlineStr">
        <is>
          <t>L4</t>
        </is>
      </c>
      <c r="P14" s="12" t="inlineStr"/>
      <c r="Q14" s="10" t="inlineStr">
        <is>
          <t>L5|L1</t>
        </is>
      </c>
      <c r="R14" s="11" t="inlineStr">
        <is>
          <t>NONE</t>
        </is>
      </c>
      <c r="S14" s="12" t="str">
        <v>NONE</v>
      </c>
      <c r="T14" s="10" t="inlineStr">
        <is>
          <t>G3</t>
        </is>
      </c>
      <c r="U14" s="10" t="inlineStr">
        <is>
          <t>G3</t>
        </is>
      </c>
      <c r="V14" s="12" t="inlineStr"/>
      <c r="W14" s="10" t="inlineStr">
        <is>
          <t>NONE</t>
        </is>
      </c>
      <c r="X14" s="10" t="inlineStr">
        <is>
          <t>NONE</t>
        </is>
      </c>
      <c r="Y14" s="12" t="inlineStr"/>
      <c r="Z14" s="10" t="inlineStr">
        <is>
          <t>E2|E3|E4</t>
        </is>
      </c>
      <c r="AA14" s="10" t="inlineStr">
        <is>
          <t>E2|E3|E4</t>
        </is>
      </c>
      <c r="AB14" s="12" t="inlineStr"/>
      <c r="AC14" s="12" t="str">
        <v>部分采用AI建议</v>
      </c>
      <c r="AD14" s="12" t="str">
        <v>D056 次层：NONE
D056 PDF 4, 8, 13, 15–16；§3 Eqs.(4)–(5); Proposition 5; §§6–6.3; Table 2
仅填写已裁决字段；其余空白不表示批准旧 AI 建议。</v>
      </c>
      <c r="AE14" s="12" t="inlineStr"/>
      <c r="AF14" s="12" t="str">
        <v>Codex（依据作者裁决）</v>
      </c>
      <c r="AG14" s="12" t="str">
        <v>2026-10-15</v>
      </c>
    </row>
    <row r="15" ht="60" customHeight="1">
      <c r="A15" s="13" t="inlineStr">
        <is>
          <t>B</t>
        </is>
      </c>
      <c r="B15" s="10" t="inlineStr">
        <is>
          <t>R07</t>
        </is>
      </c>
      <c r="C15" s="10" t="inlineStr">
        <is>
          <t>S070-M1</t>
        </is>
      </c>
      <c r="D15" s="10" t="inlineStr">
        <is>
          <t>Sarkar et al., 2025</t>
        </is>
      </c>
      <c r="E15" s="10" t="inlineStr">
        <is>
          <t>学习引导</t>
        </is>
      </c>
      <c r="F15" s="10" t="inlineStr">
        <is>
          <t>Knowledge-distilled dual prediction for penalized stabilization</t>
        </is>
      </c>
      <c r="G15" s="10" t="inlineStr">
        <is>
          <t>GU_in_legacy_secondary_field</t>
        </is>
      </c>
      <c r="H15" s="10" t="inlineStr">
        <is>
          <t>GU 应归文档状态而非次保证机制。继续核对惩罚权重最终归零的条件；此复核不替原文的数值疑问作澄清。</t>
        </is>
      </c>
      <c r="I15" s="10" t="inlineStr">
        <is>
          <t>沿用此前 AI 审核，本轮未重读原文</t>
        </is>
      </c>
      <c r="J15" s="10" t="inlineStr">
        <is>
          <t>02_参考文献/论文全文/S070_Sarkar_2025.pdf</t>
        </is>
      </c>
      <c r="K15" s="10" t="inlineStr">
        <is>
          <t>02_参考文献/论文全文/S070_Sarkar_2025.pdf</t>
        </is>
      </c>
      <c r="L15" s="10" t="inlineStr">
        <is>
          <t>PDF pp.4–5, §3 and Eq.(4); p.9, Tables3–4; p.10, §5.2.5 and Table6; p.11, §5.2.6</t>
        </is>
      </c>
      <c r="M15" s="10" t="inlineStr">
        <is>
          <t>MEDIUM</t>
        </is>
      </c>
      <c r="N15" s="10" t="inlineStr">
        <is>
          <t>L2</t>
        </is>
      </c>
      <c r="O15" s="10" t="inlineStr">
        <is>
          <t>L2</t>
        </is>
      </c>
      <c r="P15" s="12" t="inlineStr"/>
      <c r="Q15" s="10" t="inlineStr">
        <is>
          <t>NONE</t>
        </is>
      </c>
      <c r="R15" s="10" t="inlineStr">
        <is>
          <t>NONE</t>
        </is>
      </c>
      <c r="S15" s="12" t="inlineStr"/>
      <c r="T15" s="10" t="inlineStr">
        <is>
          <t>G4</t>
        </is>
      </c>
      <c r="U15" s="10" t="inlineStr">
        <is>
          <t>G4</t>
        </is>
      </c>
      <c r="V15" s="12" t="inlineStr"/>
      <c r="W15" s="10" t="inlineStr">
        <is>
          <t>GU</t>
        </is>
      </c>
      <c r="X15" s="11" t="inlineStr">
        <is>
          <t>NONE</t>
        </is>
      </c>
      <c r="Y15" s="12" t="inlineStr"/>
      <c r="Z15" s="10" t="inlineStr">
        <is>
          <t>E0|E2</t>
        </is>
      </c>
      <c r="AA15" s="10" t="inlineStr">
        <is>
          <t>E0|E2</t>
        </is>
      </c>
      <c r="AB15" s="12" t="inlineStr"/>
      <c r="AC15" s="12" t="str">
        <v>无法判断</v>
      </c>
      <c r="AD15" s="12" t="str">
        <v>D097 主机制：未确定。原值只作历史记录，暂不覆盖源文件。
D097 PDF 4–6、9–11；Eq4；§3；Tables3–7；§5.2.5–5.2.6
仅填写已裁决字段；其余空白不表示批准旧 AI 建议。</v>
      </c>
      <c r="AE15" s="12" t="inlineStr"/>
      <c r="AF15" s="12" t="str">
        <v>Codex（依据作者裁决）</v>
      </c>
      <c r="AG15" s="12" t="str">
        <v>2026-10-15</v>
      </c>
    </row>
    <row r="16">
      <c r="A16" s="13" t="inlineStr">
        <is>
          <t>B</t>
        </is>
      </c>
      <c r="B16" s="10" t="inlineStr">
        <is>
          <t>R08</t>
        </is>
      </c>
      <c r="C16" s="10" t="inlineStr">
        <is>
          <t>S063-M1</t>
        </is>
      </c>
      <c r="D16" s="10" t="inlineStr">
        <is>
          <t>Wang and Khir, 2026</t>
        </is>
      </c>
      <c r="E16" s="10" t="inlineStr">
        <is>
          <t>学习引导</t>
        </is>
      </c>
      <c r="F16" s="10" t="inlineStr">
        <is>
          <t>RLSCG(S), with predicted-reference initialization unless stated</t>
        </is>
      </c>
      <c r="G16" s="10" t="inlineStr">
        <is>
          <t>mechanism_secondary</t>
        </is>
      </c>
      <c r="H16" s="10" t="inlineStr">
        <is>
          <t>标准稳定化回退是否应另加 G2，还是已包含在 G4 收敛安排中。不得套用另一种惩罚变体的证明。</t>
        </is>
      </c>
      <c r="I16" s="10" t="inlineStr">
        <is>
          <t>沿用此前 AI 审核，本轮未重读原文</t>
        </is>
      </c>
      <c r="J16" s="10" t="inlineStr">
        <is>
          <t>02_参考文献/论文全文/S063_Wang_2026.pdf</t>
        </is>
      </c>
      <c r="K16" s="10" t="inlineStr">
        <is>
          <t>02_参考文献/论文全文/S063_Wang_2026.pdf</t>
        </is>
      </c>
      <c r="L16" s="10" t="inlineStr">
        <is>
          <t>PDF p.8, Lemma2 and Proposition3; pp.10–12, §4.2 and §5.1–5.2; p.14, Table2</t>
        </is>
      </c>
      <c r="M16" s="10" t="inlineStr">
        <is>
          <t>HIGH</t>
        </is>
      </c>
      <c r="N16" s="10" t="inlineStr">
        <is>
          <t>L2</t>
        </is>
      </c>
      <c r="O16" s="10" t="inlineStr">
        <is>
          <t>L2</t>
        </is>
      </c>
      <c r="P16" s="12" t="inlineStr"/>
      <c r="Q16" s="10" t="inlineStr">
        <is>
          <t>NONE</t>
        </is>
      </c>
      <c r="R16" s="10" t="inlineStr">
        <is>
          <t>NONE</t>
        </is>
      </c>
      <c r="S16" s="12" t="inlineStr"/>
      <c r="T16" s="10" t="inlineStr">
        <is>
          <t>G4</t>
        </is>
      </c>
      <c r="U16" s="10" t="inlineStr">
        <is>
          <t>G4</t>
        </is>
      </c>
      <c r="V16" s="12" t="inlineStr"/>
      <c r="W16" s="10" t="inlineStr">
        <is>
          <t>G2</t>
        </is>
      </c>
      <c r="X16" s="11" t="inlineStr">
        <is>
          <t>NONE</t>
        </is>
      </c>
      <c r="Y16" s="12" t="inlineStr"/>
      <c r="Z16" s="10" t="inlineStr">
        <is>
          <t>E2</t>
        </is>
      </c>
      <c r="AA16" s="10" t="inlineStr">
        <is>
          <t>E2</t>
        </is>
      </c>
      <c r="AB16" s="12" t="inlineStr"/>
      <c r="AC16" s="12" t="inlineStr"/>
      <c r="AD16" s="12" t="inlineStr"/>
      <c r="AE16" s="12" t="inlineStr"/>
      <c r="AF16" s="12" t="inlineStr"/>
      <c r="AG16" s="12" t="inlineStr"/>
    </row>
    <row r="17">
      <c r="A17" s="13" t="inlineStr">
        <is>
          <t>B</t>
        </is>
      </c>
      <c r="B17" s="10" t="inlineStr">
        <is>
          <t>R10</t>
        </is>
      </c>
      <c r="C17" s="10" t="inlineStr">
        <is>
          <t>S069-M1</t>
        </is>
      </c>
      <c r="D17" s="10" t="inlineStr">
        <is>
          <t>Gao et al., 2025</t>
        </is>
      </c>
      <c r="E17" s="10" t="inlineStr">
        <is>
          <t>学习引导</t>
        </is>
      </c>
      <c r="F17" s="10" t="inlineStr">
        <is>
          <t>LCG low-conflict-density learned arc restriction + rootCG + integerRMP</t>
        </is>
      </c>
      <c r="G17" s="10" t="inlineStr">
        <is>
          <t>secondary_layers|mechanism_secondary</t>
        </is>
      </c>
      <c r="H17" s="10" t="inlineStr">
        <is>
          <t>需要保留恢复所覆盖的网络范围。受限网络上的精确定价不能升级为全网络保证。次层及次机制只描述实际模块，不外推整体保证。</t>
        </is>
      </c>
      <c r="I17" s="10" t="inlineStr">
        <is>
          <t>沿用此前 AI 审核，本轮未重读原文</t>
        </is>
      </c>
      <c r="J17" s="10" t="inlineStr">
        <is>
          <t>02_参考文献/论文全文/S069_Gao_2025.pdf</t>
        </is>
      </c>
      <c r="K17" s="10" t="inlineStr">
        <is>
          <t>02_参考文献/论文全文/S069_Gao_2025.pdf</t>
        </is>
      </c>
      <c r="L17" s="10" t="inlineStr">
        <is>
          <t>PDF p.5, §4.1; p.7, Algorithm1; p.10, §4.3.3–5.1; p.16, AppendixB and TableB</t>
        </is>
      </c>
      <c r="M17" s="10" t="inlineStr">
        <is>
          <t>HIGH</t>
        </is>
      </c>
      <c r="N17" s="10" t="inlineStr">
        <is>
          <t>L4</t>
        </is>
      </c>
      <c r="O17" s="10" t="inlineStr">
        <is>
          <t>L4</t>
        </is>
      </c>
      <c r="P17" s="12" t="inlineStr"/>
      <c r="Q17" s="10" t="inlineStr">
        <is>
          <t>L6</t>
        </is>
      </c>
      <c r="R17" s="11" t="inlineStr">
        <is>
          <t>L2|L3</t>
        </is>
      </c>
      <c r="S17" s="12" t="inlineStr"/>
      <c r="T17" s="10" t="inlineStr">
        <is>
          <t>G5</t>
        </is>
      </c>
      <c r="U17" s="10" t="inlineStr">
        <is>
          <t>G5</t>
        </is>
      </c>
      <c r="V17" s="12" t="inlineStr"/>
      <c r="W17" s="10" t="inlineStr">
        <is>
          <t>G3</t>
        </is>
      </c>
      <c r="X17" s="11" t="inlineStr">
        <is>
          <t>G2|G3</t>
        </is>
      </c>
      <c r="Y17" s="12" t="inlineStr"/>
      <c r="Z17" s="10" t="inlineStr">
        <is>
          <t>E0|E2</t>
        </is>
      </c>
      <c r="AA17" s="10" t="inlineStr">
        <is>
          <t>E0|E2</t>
        </is>
      </c>
      <c r="AB17" s="12" t="inlineStr"/>
      <c r="AC17" s="12" t="inlineStr"/>
      <c r="AD17" s="12" t="inlineStr"/>
      <c r="AE17" s="12" t="inlineStr"/>
      <c r="AF17" s="12" t="inlineStr"/>
      <c r="AG17" s="12" t="inlineStr"/>
    </row>
    <row r="18" ht="60" customHeight="1">
      <c r="A18" s="13" t="inlineStr">
        <is>
          <t>B</t>
        </is>
      </c>
      <c r="B18" s="10" t="inlineStr">
        <is>
          <t>R11</t>
        </is>
      </c>
      <c r="C18" s="10" t="inlineStr">
        <is>
          <t>S105-M6</t>
        </is>
      </c>
      <c r="D18" s="10" t="inlineStr">
        <is>
          <t>Sadykov et al., 2019</t>
        </is>
      </c>
      <c r="E18" s="10" t="inlineStr">
        <is>
          <t>传统</t>
        </is>
      </c>
      <c r="F18" s="10" t="inlineStr">
        <is>
          <t>Strong diving</t>
        </is>
      </c>
      <c r="G18" s="10" t="inlineStr">
        <is>
          <t>secondary_layers</t>
        </is>
      </c>
      <c r="H18" s="10" t="inlineStr">
        <is>
          <t>确认 strong diving 的次层直接对应固定显式列还是隐式定价限制。有限回溯仍为 E3/G5。</t>
        </is>
      </c>
      <c r="I18" s="10" t="inlineStr">
        <is>
          <t>沿用此前 AI 审核，本轮未重读原文</t>
        </is>
      </c>
      <c r="J18" s="10" t="inlineStr">
        <is>
          <t>90_过程归档/大修_v1.5/fulltext/Sadykov/PDFs/Primal_Heuristics_for_Branch_and_Price.pdf</t>
        </is>
      </c>
      <c r="K18" s="10" t="inlineStr">
        <is>
          <t>90_过程归档/大修_v1.5/reliability/blind/sources/Primal_Heuristics_for_Branch_and_Price.pdf</t>
        </is>
      </c>
      <c r="L18" s="10" t="inlineStr">
        <is>
          <t>PDF pp.16–18, §5.3 and Table3; pp.22–24, §6.1 and Table5</t>
        </is>
      </c>
      <c r="M18" s="10" t="inlineStr">
        <is>
          <t>HIGH</t>
        </is>
      </c>
      <c r="N18" s="10" t="inlineStr">
        <is>
          <t>L1</t>
        </is>
      </c>
      <c r="O18" s="10" t="inlineStr">
        <is>
          <t>L1</t>
        </is>
      </c>
      <c r="P18" s="12" t="inlineStr"/>
      <c r="Q18" s="10" t="inlineStr">
        <is>
          <t>L4</t>
        </is>
      </c>
      <c r="R18" s="11" t="inlineStr">
        <is>
          <t>L6</t>
        </is>
      </c>
      <c r="S18" s="12" t="str">
        <v>L6</v>
      </c>
      <c r="T18" s="10" t="inlineStr">
        <is>
          <t>G5</t>
        </is>
      </c>
      <c r="U18" s="10" t="inlineStr">
        <is>
          <t>G5</t>
        </is>
      </c>
      <c r="V18" s="12" t="inlineStr"/>
      <c r="W18" s="10" t="inlineStr">
        <is>
          <t>NONE</t>
        </is>
      </c>
      <c r="X18" s="10" t="inlineStr">
        <is>
          <t>NONE</t>
        </is>
      </c>
      <c r="Y18" s="12" t="inlineStr"/>
      <c r="Z18" s="10" t="inlineStr">
        <is>
          <t>E3</t>
        </is>
      </c>
      <c r="AA18" s="10" t="inlineStr">
        <is>
          <t>E3</t>
        </is>
      </c>
      <c r="AB18" s="12" t="inlineStr"/>
      <c r="AC18" s="12" t="str">
        <v>部分采用AI建议</v>
      </c>
      <c r="AD18" s="12" t="str">
        <v>D022 次层：L6
D022 PDF 16–18;22–24;28–30；§5.3;Table3;§6;Tables5,8,9
仅填写已裁决字段；其余空白不表示批准旧 AI 建议。</v>
      </c>
      <c r="AE18" s="12" t="inlineStr"/>
      <c r="AF18" s="12" t="str">
        <v>Codex（依据作者裁决）</v>
      </c>
      <c r="AG18" s="12" t="str">
        <v>2026-10-15</v>
      </c>
    </row>
    <row r="19">
      <c r="A19" s="13" t="inlineStr">
        <is>
          <t>B</t>
        </is>
      </c>
      <c r="B19" s="10" t="inlineStr">
        <is>
          <t>R14</t>
        </is>
      </c>
      <c r="C19" s="10" t="inlineStr">
        <is>
          <t>S088-M1</t>
        </is>
      </c>
      <c r="D19" s="10" t="inlineStr">
        <is>
          <t>Xu et al., 2024</t>
        </is>
      </c>
      <c r="E19" s="10" t="inlineStr">
        <is>
          <t>学习引导</t>
        </is>
      </c>
      <c r="F19" s="10" t="inlineStr">
        <is>
          <t>Main algorithm described in the paper; distinguish any separately reported setting</t>
        </is>
      </c>
      <c r="G19" s="10" t="inlineStr">
        <is>
          <t>secondary_layers</t>
        </is>
      </c>
      <c r="H19" s="10" t="inlineStr">
        <is>
          <t>主层 L5、G2 及 E2/E4 一致。次层 L3/L6 取决于本行是否包括调用控制和批量插列模块，应明确后填写。</t>
        </is>
      </c>
      <c r="I19" s="10" t="inlineStr">
        <is>
          <t>沿用此前 AI 审核，本轮未重读原文</t>
        </is>
      </c>
      <c r="J19" s="10" t="inlineStr">
        <is>
          <t>02_参考文献/论文全文/S088_Xu_2024.pdf</t>
        </is>
      </c>
      <c r="K19" s="10" t="inlineStr">
        <is>
          <t>02_参考文献/论文全文/S088_Xu_2024.pdf</t>
        </is>
      </c>
      <c r="L19" s="10" t="inlineStr">
        <is>
          <t>PDF p.4, §3 and Algorithm1; p.6, §4.1; p.7, §4.2–4.3</t>
        </is>
      </c>
      <c r="M19" s="10" t="inlineStr">
        <is>
          <t>HIGH</t>
        </is>
      </c>
      <c r="N19" s="10" t="inlineStr">
        <is>
          <t>L5</t>
        </is>
      </c>
      <c r="O19" s="10" t="inlineStr">
        <is>
          <t>L5</t>
        </is>
      </c>
      <c r="P19" s="12" t="inlineStr"/>
      <c r="Q19" s="10" t="inlineStr">
        <is>
          <t>L6</t>
        </is>
      </c>
      <c r="R19" s="11" t="inlineStr">
        <is>
          <t>L3</t>
        </is>
      </c>
      <c r="S19" s="12" t="inlineStr"/>
      <c r="T19" s="10" t="inlineStr">
        <is>
          <t>G2</t>
        </is>
      </c>
      <c r="U19" s="10" t="inlineStr">
        <is>
          <t>G2</t>
        </is>
      </c>
      <c r="V19" s="12" t="inlineStr"/>
      <c r="W19" s="10" t="inlineStr">
        <is>
          <t>NONE</t>
        </is>
      </c>
      <c r="X19" s="10" t="inlineStr">
        <is>
          <t>NONE</t>
        </is>
      </c>
      <c r="Y19" s="12" t="inlineStr"/>
      <c r="Z19" s="10" t="inlineStr">
        <is>
          <t>E2|E4</t>
        </is>
      </c>
      <c r="AA19" s="10" t="inlineStr">
        <is>
          <t>E2|E4</t>
        </is>
      </c>
      <c r="AB19" s="12" t="inlineStr"/>
      <c r="AC19" s="12" t="inlineStr"/>
      <c r="AD19" s="12" t="inlineStr"/>
      <c r="AE19" s="12" t="inlineStr"/>
      <c r="AF19" s="12" t="inlineStr"/>
      <c r="AG19" s="12" t="inlineStr"/>
    </row>
    <row r="20">
      <c r="A20" s="13" t="inlineStr">
        <is>
          <t>B</t>
        </is>
      </c>
      <c r="B20" s="10" t="inlineStr">
        <is>
          <t>R15</t>
        </is>
      </c>
      <c r="C20" s="10" t="inlineStr">
        <is>
          <t>S085-M1</t>
        </is>
      </c>
      <c r="D20" s="10" t="inlineStr">
        <is>
          <t>Huo et al., 2023</t>
        </is>
      </c>
      <c r="E20" s="10" t="inlineStr">
        <is>
          <t>学习引导</t>
        </is>
      </c>
      <c r="F20" s="10" t="inlineStr">
        <is>
          <t>Main algorithm described in the paper; distinguish any separately reported setting</t>
        </is>
      </c>
      <c r="G20" s="10" t="inlineStr">
        <is>
          <t>secondary_layers</t>
        </is>
      </c>
      <c r="H20" s="10" t="inlineStr">
        <is>
          <t>主机制 G5 一致。精确 MILP 只在达到最大迭代次数时触发，而预测非负约化成本可先行终止。请保留此条件说明。</t>
        </is>
      </c>
      <c r="I20" s="10" t="inlineStr">
        <is>
          <t>沿用此前 AI 审核，本轮未重读原文</t>
        </is>
      </c>
      <c r="J20" s="10" t="inlineStr">
        <is>
          <t>02_参考文献/论文全文/S085_Huo_2023.pdf</t>
        </is>
      </c>
      <c r="K20" s="10" t="inlineStr">
        <is>
          <t>02_参考文献/论文全文/S085_Huo_2023.pdf</t>
        </is>
      </c>
      <c r="L20" s="10" t="inlineStr">
        <is>
          <t>PDF pp.5–7, §3.1–3.3 and Fig.3; pp.8–9, §4.1–4.2 and Figs.4–6</t>
        </is>
      </c>
      <c r="M20" s="10" t="inlineStr">
        <is>
          <t>HIGH</t>
        </is>
      </c>
      <c r="N20" s="10" t="inlineStr">
        <is>
          <t>L5</t>
        </is>
      </c>
      <c r="O20" s="10" t="inlineStr">
        <is>
          <t>L5</t>
        </is>
      </c>
      <c r="P20" s="12" t="inlineStr"/>
      <c r="Q20" s="10" t="inlineStr">
        <is>
          <t>L4</t>
        </is>
      </c>
      <c r="R20" s="11" t="inlineStr">
        <is>
          <t>L3</t>
        </is>
      </c>
      <c r="S20" s="12" t="inlineStr"/>
      <c r="T20" s="10" t="inlineStr">
        <is>
          <t>G5</t>
        </is>
      </c>
      <c r="U20" s="10" t="inlineStr">
        <is>
          <t>G5</t>
        </is>
      </c>
      <c r="V20" s="12" t="inlineStr"/>
      <c r="W20" s="10" t="inlineStr">
        <is>
          <t>NONE</t>
        </is>
      </c>
      <c r="X20" s="10" t="inlineStr">
        <is>
          <t>NONE</t>
        </is>
      </c>
      <c r="Y20" s="12" t="inlineStr"/>
      <c r="Z20" s="10" t="inlineStr">
        <is>
          <t>E2</t>
        </is>
      </c>
      <c r="AA20" s="10" t="inlineStr">
        <is>
          <t>E2</t>
        </is>
      </c>
      <c r="AB20" s="12" t="inlineStr"/>
      <c r="AC20" s="12" t="inlineStr"/>
      <c r="AD20" s="12" t="inlineStr"/>
      <c r="AE20" s="12" t="inlineStr"/>
      <c r="AF20" s="12" t="inlineStr"/>
      <c r="AG20" s="12" t="inlineStr"/>
    </row>
    <row r="21" ht="75" customHeight="1">
      <c r="A21" s="13" t="inlineStr">
        <is>
          <t>B</t>
        </is>
      </c>
      <c r="B21" s="10" t="inlineStr">
        <is>
          <t>R17</t>
        </is>
      </c>
      <c r="C21" s="10" t="inlineStr">
        <is>
          <t>S052-M1</t>
        </is>
      </c>
      <c r="D21" s="10" t="inlineStr">
        <is>
          <t>Zhang et al., 2022</t>
        </is>
      </c>
      <c r="E21" s="10" t="inlineStr">
        <is>
          <t>学习引导</t>
        </is>
      </c>
      <c r="F21" s="10" t="inlineStr">
        <is>
          <t>ICGAwithapproximateareadominance</t>
        </is>
      </c>
      <c r="G21" s="10" t="inlineStr">
        <is>
          <t>mechanism_secondary</t>
        </is>
      </c>
      <c r="H21" s="10" t="inlineStr">
        <is>
          <t>保留 L6/G5/E0/E2。对预测列的可行性检查和修复如何记次机制需统一；近似面积支配仍决定整个 ICGA 的保证边界。</t>
        </is>
      </c>
      <c r="I21" s="10" t="inlineStr">
        <is>
          <t>沿用此前 AI 审核，本轮未重读原文</t>
        </is>
      </c>
      <c r="J21" s="10" t="inlineStr">
        <is>
          <t>02_参考文献/论文全文/S052_Zhang_2022.pdf</t>
        </is>
      </c>
      <c r="K21" s="10" t="inlineStr">
        <is>
          <t>02_参考文献/论文全文/S052_Zhang_2022.pdf</t>
        </is>
      </c>
      <c r="L21" s="10" t="inlineStr">
        <is>
          <t>PDF pp. 8–9, §3 支配规则及 Algorithm 1；pp. 10–13, §4.1–4.2, Figure 3, Algorithm 3；pp. 15–16, §5.2–5.4, Tables 3–5</t>
        </is>
      </c>
      <c r="M21" s="10" t="inlineStr">
        <is>
          <t>MEDIUM</t>
        </is>
      </c>
      <c r="N21" s="10" t="inlineStr">
        <is>
          <t>L6</t>
        </is>
      </c>
      <c r="O21" s="10" t="inlineStr">
        <is>
          <t>L6</t>
        </is>
      </c>
      <c r="P21" s="12" t="str">
        <v>L6</v>
      </c>
      <c r="Q21" s="10" t="inlineStr">
        <is>
          <t>L4|L2</t>
        </is>
      </c>
      <c r="R21" s="10" t="inlineStr">
        <is>
          <t>L2|L4</t>
        </is>
      </c>
      <c r="S21" s="12" t="str">
        <v>L4</v>
      </c>
      <c r="T21" s="10" t="inlineStr">
        <is>
          <t>G5</t>
        </is>
      </c>
      <c r="U21" s="10" t="inlineStr">
        <is>
          <t>G5</t>
        </is>
      </c>
      <c r="V21" s="12" t="inlineStr"/>
      <c r="W21" s="10" t="inlineStr">
        <is>
          <t>G1;G3;G5</t>
        </is>
      </c>
      <c r="X21" s="11" t="inlineStr">
        <is>
          <t>G2</t>
        </is>
      </c>
      <c r="Y21" s="12" t="inlineStr"/>
      <c r="Z21" s="10" t="inlineStr">
        <is>
          <t>E0|E2</t>
        </is>
      </c>
      <c r="AA21" s="10" t="inlineStr">
        <is>
          <t>E0|E2</t>
        </is>
      </c>
      <c r="AB21" s="12" t="inlineStr"/>
      <c r="AC21" s="12" t="str">
        <v>部分采用AI建议</v>
      </c>
      <c r="AD21" s="12" t="str">
        <v>D042 主层：L6（保留）
D065 次层：L4
D042 PDF 8–9, 12–16；Theorems 1–2; Algorithm 1; §4.2 Fig.3; Algorithm 3; §5.2–5.3
D065 PDF 8–9, 12–16；Theorems 1–2; Algorithm 1; §4.2 Fig.3; Algorithm 3; §5.2–5.3
仅填写已裁决字段；其余空白不表示批准旧 AI 建议。</v>
      </c>
      <c r="AE21" s="12" t="inlineStr"/>
      <c r="AF21" s="12" t="str">
        <v>Codex（依据作者裁决）</v>
      </c>
      <c r="AG21" s="12" t="str">
        <v>2026-10-15</v>
      </c>
    </row>
    <row r="22">
      <c r="A22" s="13" t="inlineStr">
        <is>
          <t>B</t>
        </is>
      </c>
      <c r="B22" s="10" t="inlineStr">
        <is>
          <t>R20</t>
        </is>
      </c>
      <c r="C22" s="10" t="inlineStr">
        <is>
          <t>S103-M4</t>
        </is>
      </c>
      <c r="D22" s="10" t="inlineStr">
        <is>
          <t>Chen et al., 2026</t>
        </is>
      </c>
      <c r="E22" s="10" t="inlineStr">
        <is>
          <t>传统</t>
        </is>
      </c>
      <c r="F22" s="10" t="inlineStr">
        <is>
          <t>BAC3: standalone Model1 plus GCS and IPEC</t>
        </is>
      </c>
      <c r="G22" s="10" t="inlineStr">
        <is>
          <t>secondary_layers|mechanism_secondary|GU_in_legacy_secondary_field</t>
        </is>
      </c>
      <c r="H22" s="10" t="inlineStr">
        <is>
          <t>E1 及主层 L4/G4 一致。定价内部完整搜索是否作为次层 L5/G1，需要与 R09 采用同一规则。GU 另记文档信息。</t>
        </is>
      </c>
      <c r="I22" s="10" t="inlineStr">
        <is>
          <t>本轮 AI 已对照原文复查</t>
        </is>
      </c>
      <c r="J22" s="10" t="inlineStr">
        <is>
          <t>02_参考文献/论文全文/CL014_Chen_2026.pdf</t>
        </is>
      </c>
      <c r="K22" s="10" t="inlineStr">
        <is>
          <t>02_参考文献/论文全文/CL014_Chen_2026.pdf</t>
        </is>
      </c>
      <c r="L22" s="10" t="inlineStr">
        <is>
          <t>PDF p.12, valid-inequality statement; pp.20–22, §5.2 and Table4</t>
        </is>
      </c>
      <c r="M22" s="10" t="inlineStr">
        <is>
          <t>MEDIUM</t>
        </is>
      </c>
      <c r="N22" s="10" t="inlineStr">
        <is>
          <t>L4</t>
        </is>
      </c>
      <c r="O22" s="10" t="inlineStr">
        <is>
          <t>L4</t>
        </is>
      </c>
      <c r="P22" s="12" t="inlineStr"/>
      <c r="Q22" s="10" t="inlineStr">
        <is>
          <t>NONE</t>
        </is>
      </c>
      <c r="R22" s="11" t="inlineStr">
        <is>
          <t>L5</t>
        </is>
      </c>
      <c r="S22" s="12" t="inlineStr"/>
      <c r="T22" s="10" t="inlineStr">
        <is>
          <t>G4</t>
        </is>
      </c>
      <c r="U22" s="10" t="inlineStr">
        <is>
          <t>G4</t>
        </is>
      </c>
      <c r="V22" s="12" t="inlineStr"/>
      <c r="W22" s="10" t="inlineStr">
        <is>
          <t>GU</t>
        </is>
      </c>
      <c r="X22" s="11" t="inlineStr">
        <is>
          <t>G1</t>
        </is>
      </c>
      <c r="Y22" s="12" t="inlineStr"/>
      <c r="Z22" s="10" t="inlineStr">
        <is>
          <t>E1</t>
        </is>
      </c>
      <c r="AA22" s="10" t="inlineStr">
        <is>
          <t>E1</t>
        </is>
      </c>
      <c r="AB22" s="12" t="inlineStr"/>
      <c r="AC22" s="12" t="inlineStr"/>
      <c r="AD22" s="12" t="inlineStr"/>
      <c r="AE22" s="12" t="inlineStr"/>
      <c r="AF22" s="12" t="inlineStr"/>
      <c r="AG22" s="12" t="inlineStr"/>
    </row>
    <row r="23" ht="60" customHeight="1">
      <c r="A23" s="13" t="inlineStr">
        <is>
          <t>B</t>
        </is>
      </c>
      <c r="B23" s="10" t="inlineStr">
        <is>
          <t>R21</t>
        </is>
      </c>
      <c r="C23" s="10" t="inlineStr">
        <is>
          <t>S041-M1</t>
        </is>
      </c>
      <c r="D23" s="10" t="inlineStr">
        <is>
          <t>Gondzio et al., 2013</t>
        </is>
      </c>
      <c r="E23" s="10" t="inlineStr">
        <is>
          <t>传统</t>
        </is>
      </c>
      <c r="F23" s="10" t="inlineStr">
        <is>
          <t>Primal–dual column generation method (PDCGM)</t>
        </is>
      </c>
      <c r="G23" s="10" t="inlineStr">
        <is>
          <t>secondary_layers</t>
        </is>
      </c>
      <c r="H23" s="10" t="inlineStr">
        <is>
          <t>主层 L2/G4/E2 一致。内部列处理不应仅因存在就自动加 L6。明确非元素路径放松的目标。</t>
        </is>
      </c>
      <c r="I23" s="10" t="inlineStr">
        <is>
          <t>沿用此前 AI 审核，本轮未重读原文</t>
        </is>
      </c>
      <c r="J23" s="10" t="inlineStr">
        <is>
          <t>02_参考文献/论文全文/S041_Gondzio_2013.pdf</t>
        </is>
      </c>
      <c r="K23" s="10" t="inlineStr">
        <is>
          <t>02_参考文献/论文全文/S041_Gondzio_2013.pdf</t>
        </is>
      </c>
      <c r="L23" s="10" t="inlineStr">
        <is>
          <t>PDF pp. 3–4, §3, Propositions 3.1 and 3.3, Algorithm 1；p. 8, VRPTW experiments and Tables 5–7</t>
        </is>
      </c>
      <c r="M23" s="10" t="inlineStr">
        <is>
          <t>HIGH</t>
        </is>
      </c>
      <c r="N23" s="10" t="inlineStr">
        <is>
          <t>L2</t>
        </is>
      </c>
      <c r="O23" s="10" t="inlineStr">
        <is>
          <t>L2</t>
        </is>
      </c>
      <c r="P23" s="12" t="inlineStr"/>
      <c r="Q23" s="10" t="inlineStr">
        <is>
          <t>L6</t>
        </is>
      </c>
      <c r="R23" s="11" t="inlineStr">
        <is>
          <t>NONE</t>
        </is>
      </c>
      <c r="S23" s="12" t="str">
        <v>NONE</v>
      </c>
      <c r="T23" s="10" t="inlineStr">
        <is>
          <t>G4</t>
        </is>
      </c>
      <c r="U23" s="10" t="inlineStr">
        <is>
          <t>G4</t>
        </is>
      </c>
      <c r="V23" s="12" t="inlineStr"/>
      <c r="W23" s="10" t="inlineStr">
        <is>
          <t>NONE</t>
        </is>
      </c>
      <c r="X23" s="10" t="inlineStr">
        <is>
          <t>NONE</t>
        </is>
      </c>
      <c r="Y23" s="12" t="inlineStr"/>
      <c r="Z23" s="10" t="inlineStr">
        <is>
          <t>E2</t>
        </is>
      </c>
      <c r="AA23" s="10" t="inlineStr">
        <is>
          <t>E2</t>
        </is>
      </c>
      <c r="AB23" s="12" t="inlineStr"/>
      <c r="AC23" s="12" t="str">
        <v>部分采用AI建议</v>
      </c>
      <c r="AD23" s="12" t="str">
        <v>D055 次层：NONE
D055 PDF 3–5, 8；§3 Definition 1, Propositions 3.1–3.3, Algorithm 1; §4.2
仅填写已裁决字段；其余空白不表示批准旧 AI 建议。</v>
      </c>
      <c r="AE23" s="12" t="inlineStr"/>
      <c r="AF23" s="12" t="str">
        <v>Codex（依据作者裁决）</v>
      </c>
      <c r="AG23" s="12" t="str">
        <v>2026-10-15</v>
      </c>
    </row>
    <row r="24" ht="60" customHeight="1">
      <c r="A24" s="13" t="inlineStr">
        <is>
          <t>B</t>
        </is>
      </c>
      <c r="B24" s="10" t="inlineStr">
        <is>
          <t>R23</t>
        </is>
      </c>
      <c r="C24" s="10" t="inlineStr">
        <is>
          <t>S105-M3</t>
        </is>
      </c>
      <c r="D24" s="10" t="inlineStr">
        <is>
          <t>Sadykov et al., 2019</t>
        </is>
      </c>
      <c r="E24" s="10" t="inlineStr">
        <is>
          <t>传统</t>
        </is>
      </c>
      <c r="F24" s="10" t="inlineStr">
        <is>
          <t>Diving with restarts</t>
        </is>
      </c>
      <c r="G24" s="10" t="inlineStr">
        <is>
          <t>secondary_layers</t>
        </is>
      </c>
      <c r="H24" s="10" t="inlineStr">
        <is>
          <t>确认重启潜入对显式列固定的 L6 次层判断。多次重启没有变成完整树，E3/G5 保持。</t>
        </is>
      </c>
      <c r="I24" s="10" t="inlineStr">
        <is>
          <t>沿用此前 AI 审核，本轮未重读原文</t>
        </is>
      </c>
      <c r="J24" s="10" t="inlineStr">
        <is>
          <t>90_过程归档/大修_v1.5/fulltext/Sadykov/PDFs/Primal_Heuristics_for_Branch_and_Price.pdf</t>
        </is>
      </c>
      <c r="K24" s="10" t="inlineStr">
        <is>
          <t>90_过程归档/大修_v1.5/reliability/blind/sources/Primal_Heuristics_for_Branch_and_Price.pdf</t>
        </is>
      </c>
      <c r="L24" s="10" t="inlineStr">
        <is>
          <t>PDF pp.18–19, §5.4 and Table4; pp.22–24, §6.1 and Table5</t>
        </is>
      </c>
      <c r="M24" s="10" t="inlineStr">
        <is>
          <t>HIGH</t>
        </is>
      </c>
      <c r="N24" s="10" t="inlineStr">
        <is>
          <t>L1</t>
        </is>
      </c>
      <c r="O24" s="10" t="inlineStr">
        <is>
          <t>L1</t>
        </is>
      </c>
      <c r="P24" s="12" t="inlineStr"/>
      <c r="Q24" s="10" t="inlineStr">
        <is>
          <t>L4</t>
        </is>
      </c>
      <c r="R24" s="11" t="inlineStr">
        <is>
          <t>L6</t>
        </is>
      </c>
      <c r="S24" s="12" t="str">
        <v>L6</v>
      </c>
      <c r="T24" s="10" t="inlineStr">
        <is>
          <t>G5</t>
        </is>
      </c>
      <c r="U24" s="10" t="inlineStr">
        <is>
          <t>G5</t>
        </is>
      </c>
      <c r="V24" s="12" t="inlineStr"/>
      <c r="W24" s="10" t="inlineStr">
        <is>
          <t>NONE</t>
        </is>
      </c>
      <c r="X24" s="10" t="inlineStr">
        <is>
          <t>NONE</t>
        </is>
      </c>
      <c r="Y24" s="12" t="inlineStr"/>
      <c r="Z24" s="10" t="inlineStr">
        <is>
          <t>E3</t>
        </is>
      </c>
      <c r="AA24" s="10" t="inlineStr">
        <is>
          <t>E3</t>
        </is>
      </c>
      <c r="AB24" s="12" t="inlineStr"/>
      <c r="AC24" s="12" t="str">
        <v>部分采用AI建议</v>
      </c>
      <c r="AD24" s="12" t="str">
        <v>D020 次层：L6
D020 PDF 18–19;22–24;28–30；§5.4;Table4;§6;Tables5,8,9
仅填写已裁决字段；其余空白不表示批准旧 AI 建议。</v>
      </c>
      <c r="AE24" s="12" t="inlineStr"/>
      <c r="AF24" s="12" t="str">
        <v>Codex（依据作者裁决）</v>
      </c>
      <c r="AG24" s="12" t="str">
        <v>2026-10-15</v>
      </c>
    </row>
    <row r="25" ht="75" customHeight="1">
      <c r="A25" s="13" t="inlineStr">
        <is>
          <t>B</t>
        </is>
      </c>
      <c r="B25" s="10" t="inlineStr">
        <is>
          <t>B01</t>
        </is>
      </c>
      <c r="C25" s="10" t="inlineStr">
        <is>
          <t>S045-M1</t>
        </is>
      </c>
      <c r="D25" s="10" t="inlineStr">
        <is>
          <t>Desaulniers et al., 2020</t>
        </is>
      </c>
      <c r="E25" s="10" t="inlineStr">
        <is>
          <t>传统</t>
        </is>
      </c>
      <c r="F25" s="10" t="inlineStr">
        <is>
          <t>Main algorithm described in the paper; distinguish any separately reported setting</t>
        </is>
      </c>
      <c r="G25" s="10" t="inlineStr">
        <is>
          <t>secondary_layers</t>
        </is>
      </c>
      <c r="H25" s="10" t="inlineStr">
        <is>
          <t>确认两弧序列属于隐式路径与标签操作 L4，主机制为依赖合法 UB/LB 的 G3。相同对偶状态的配对定价实验足以支持 E1。</t>
        </is>
      </c>
      <c r="I25" s="10" t="inlineStr">
        <is>
          <t>沿用此前 AI 审核，本轮未重读原文</t>
        </is>
      </c>
      <c r="J25" s="10" t="inlineStr">
        <is>
          <t>02_参考文献/论文全文/S045_Desaulniers_2020.pdf</t>
        </is>
      </c>
      <c r="K25" s="10" t="inlineStr">
        <is>
          <t>02_参考文献/论文全文/S045_Desaulniers_2020.pdf</t>
        </is>
      </c>
      <c r="L25" s="10" t="inlineStr">
        <is>
          <t>PDF pp. 3–4, §2, Proposition 1 and Eq. (1)；pp. 12–16, §4.1–4.5, Tables 2–5</t>
        </is>
      </c>
      <c r="M25" s="10" t="inlineStr">
        <is>
          <t>HIGH</t>
        </is>
      </c>
      <c r="N25" s="10" t="inlineStr">
        <is>
          <t>L4</t>
        </is>
      </c>
      <c r="O25" s="10" t="inlineStr">
        <is>
          <t>L4</t>
        </is>
      </c>
      <c r="P25" s="12" t="inlineStr"/>
      <c r="Q25" s="10" t="inlineStr">
        <is>
          <t>L3</t>
        </is>
      </c>
      <c r="R25" s="11" t="inlineStr">
        <is>
          <t>NONE</t>
        </is>
      </c>
      <c r="S25" s="12" t="str">
        <v>NONE</v>
      </c>
      <c r="T25" s="10" t="inlineStr">
        <is>
          <t>G3</t>
        </is>
      </c>
      <c r="U25" s="10" t="inlineStr">
        <is>
          <t>G3</t>
        </is>
      </c>
      <c r="V25" s="12" t="inlineStr"/>
      <c r="W25" s="10" t="inlineStr">
        <is>
          <t>NONE</t>
        </is>
      </c>
      <c r="X25" s="10" t="inlineStr">
        <is>
          <t>NONE</t>
        </is>
      </c>
      <c r="Y25" s="12" t="inlineStr"/>
      <c r="Z25" s="10" t="inlineStr">
        <is>
          <t>E1|E2|E4</t>
        </is>
      </c>
      <c r="AA25" s="10" t="inlineStr">
        <is>
          <t>E1|E2|E4</t>
        </is>
      </c>
      <c r="AB25" s="12" t="inlineStr"/>
      <c r="AC25" s="12" t="str">
        <v>部分采用AI建议</v>
      </c>
      <c r="AD25" s="12" t="str">
        <v>D057 次层：NONE
D077 变体描述：Two-arc sequence fixing with compatible label propagation and dominance
D057 PDF 3–7, 11–18；Proposition 1; §2.1; §3.5; §§4.3–4.5
D077 PDF 3–7, 11–18；Proposition 1; §2.1; §3.5; §§4.3–4.5
仅填写已裁决字段；其余空白不表示批准旧 AI 建议。</v>
      </c>
      <c r="AE25" s="12" t="inlineStr"/>
      <c r="AF25" s="12" t="str">
        <v>Codex（依据作者裁决）</v>
      </c>
      <c r="AG25" s="12" t="str">
        <v>2026-10-15</v>
      </c>
    </row>
    <row r="26">
      <c r="A26" s="13" t="inlineStr">
        <is>
          <t>B</t>
        </is>
      </c>
      <c r="B26" s="10" t="inlineStr">
        <is>
          <t>B02</t>
        </is>
      </c>
      <c r="C26" s="10" t="inlineStr">
        <is>
          <t>S053-M1</t>
        </is>
      </c>
      <c r="D26" s="10" t="inlineStr">
        <is>
          <t>Shen et al., 2022</t>
        </is>
      </c>
      <c r="E26" s="10" t="inlineStr">
        <is>
          <t>学习引导</t>
        </is>
      </c>
      <c r="F26" s="10" t="inlineStr">
        <is>
          <t>MLPH with exact pricing fallback; CG and SCIP B&amp;P variants</t>
        </is>
      </c>
      <c r="G26" s="10" t="inlineStr">
        <is>
          <t>secondary_layers</t>
        </is>
      </c>
      <c r="H26" s="10" t="inlineStr">
        <is>
          <t>确认构造新列也可用 G2，不必先删除定价域。CG 与 SCIP B&amp;P 的回退器及配置不同，应分别引用结果。</t>
        </is>
      </c>
      <c r="I26" s="10" t="inlineStr">
        <is>
          <t>沿用此前 AI 审核，本轮未重读原文</t>
        </is>
      </c>
      <c r="J26" s="10" t="inlineStr">
        <is>
          <t>02_参考文献/论文全文/S053_Shen_2022.pdf</t>
        </is>
      </c>
      <c r="K26" s="10" t="inlineStr">
        <is>
          <t>02_参考文献/论文全文/S053_Shen_2022.pdf</t>
        </is>
      </c>
      <c r="L26" s="10" t="inlineStr">
        <is>
          <t>PDF p. 3, Generating Columns via Sampling and Columns Selection；p. 4, fallback paragraph；p. 5, Branch-and-price with MLPH；pp. 6–7, Tables 3–6</t>
        </is>
      </c>
      <c r="M26" s="10" t="inlineStr">
        <is>
          <t>HIGH</t>
        </is>
      </c>
      <c r="N26" s="10" t="inlineStr">
        <is>
          <t>L5</t>
        </is>
      </c>
      <c r="O26" s="10" t="inlineStr">
        <is>
          <t>L5</t>
        </is>
      </c>
      <c r="P26" s="12" t="inlineStr"/>
      <c r="Q26" s="10" t="inlineStr">
        <is>
          <t>L6</t>
        </is>
      </c>
      <c r="R26" s="11" t="inlineStr">
        <is>
          <t>L3|L6</t>
        </is>
      </c>
      <c r="S26" s="12" t="inlineStr"/>
      <c r="T26" s="10" t="inlineStr">
        <is>
          <t>G2</t>
        </is>
      </c>
      <c r="U26" s="10" t="inlineStr">
        <is>
          <t>G2</t>
        </is>
      </c>
      <c r="V26" s="12" t="inlineStr"/>
      <c r="W26" s="10" t="inlineStr">
        <is>
          <t>NONE</t>
        </is>
      </c>
      <c r="X26" s="10" t="inlineStr">
        <is>
          <t>NONE</t>
        </is>
      </c>
      <c r="Y26" s="12" t="inlineStr"/>
      <c r="Z26" s="10" t="inlineStr">
        <is>
          <t>E1|E2|E4</t>
        </is>
      </c>
      <c r="AA26" s="10" t="inlineStr">
        <is>
          <t>E1|E2|E4</t>
        </is>
      </c>
      <c r="AB26" s="12" t="inlineStr"/>
      <c r="AC26" s="12" t="inlineStr"/>
      <c r="AD26" s="12" t="inlineStr"/>
      <c r="AE26" s="12" t="inlineStr"/>
      <c r="AF26" s="12" t="inlineStr"/>
      <c r="AG26" s="12" t="inlineStr"/>
    </row>
    <row r="27">
      <c r="A27" s="14" t="inlineStr">
        <is>
          <t>C</t>
        </is>
      </c>
      <c r="B27" s="10" t="inlineStr">
        <is>
          <t>R16</t>
        </is>
      </c>
      <c r="C27" s="10" t="inlineStr">
        <is>
          <t>S056-M1</t>
        </is>
      </c>
      <c r="D27" s="10" t="inlineStr">
        <is>
          <t>Kraul et al., 2023</t>
        </is>
      </c>
      <c r="E27" s="10" t="inlineStr">
        <is>
          <t>学习引导</t>
        </is>
      </c>
      <c r="F27" s="10" t="inlineStr">
        <is>
          <t>FULL</t>
        </is>
      </c>
      <c r="G27" s="10" t="inlineStr">
        <is>
          <t>NONE</t>
        </is>
      </c>
      <c r="H27" s="10" t="inlineStr">
        <is>
          <t>未提出主要分类变更。核对 FULL 的实验，不继承 SPARSE 更大规模结果。</t>
        </is>
      </c>
      <c r="I27" s="10" t="inlineStr">
        <is>
          <t>沿用此前 AI 审核，本轮未重读原文</t>
        </is>
      </c>
      <c r="J27" s="10" t="inlineStr">
        <is>
          <t>02_参考文献/论文全文/S056_Kraul_2023.pdf</t>
        </is>
      </c>
      <c r="K27" s="10" t="inlineStr">
        <is>
          <t>02_参考文献/论文全文/S056_Kraul_2023.pdf</t>
        </is>
      </c>
      <c r="L27" s="10" t="inlineStr">
        <is>
          <t>PDF p.7, §3.1 and Eq.(5); p.14, §4.2 and Tables3–4; pp.16–17, §4.3 and Tables7–9</t>
        </is>
      </c>
      <c r="M27" s="10" t="inlineStr">
        <is>
          <t>HIGH</t>
        </is>
      </c>
      <c r="N27" s="10" t="inlineStr">
        <is>
          <t>L2</t>
        </is>
      </c>
      <c r="O27" s="10" t="inlineStr">
        <is>
          <t>L2</t>
        </is>
      </c>
      <c r="P27" s="12" t="inlineStr"/>
      <c r="Q27" s="10" t="inlineStr">
        <is>
          <t>NONE</t>
        </is>
      </c>
      <c r="R27" s="10" t="inlineStr">
        <is>
          <t>NONE</t>
        </is>
      </c>
      <c r="S27" s="12" t="inlineStr"/>
      <c r="T27" s="10" t="inlineStr">
        <is>
          <t>G4</t>
        </is>
      </c>
      <c r="U27" s="10" t="inlineStr">
        <is>
          <t>G4</t>
        </is>
      </c>
      <c r="V27" s="12" t="inlineStr"/>
      <c r="W27" s="10" t="inlineStr">
        <is>
          <t>NONE</t>
        </is>
      </c>
      <c r="X27" s="10" t="inlineStr">
        <is>
          <t>NONE</t>
        </is>
      </c>
      <c r="Y27" s="12" t="inlineStr"/>
      <c r="Z27" s="10" t="inlineStr">
        <is>
          <t>E0|E2</t>
        </is>
      </c>
      <c r="AA27" s="10" t="inlineStr">
        <is>
          <t>E0|E2</t>
        </is>
      </c>
      <c r="AB27" s="12" t="inlineStr"/>
      <c r="AC27" s="12" t="inlineStr"/>
      <c r="AD27" s="12" t="inlineStr"/>
      <c r="AE27" s="12" t="inlineStr"/>
      <c r="AF27" s="12" t="inlineStr"/>
      <c r="AG27" s="12" t="inlineStr"/>
    </row>
    <row r="28">
      <c r="A28" s="14" t="inlineStr">
        <is>
          <t>C</t>
        </is>
      </c>
      <c r="B28" s="10" t="inlineStr">
        <is>
          <t>R22</t>
        </is>
      </c>
      <c r="C28" s="10" t="inlineStr">
        <is>
          <t>S097-M1</t>
        </is>
      </c>
      <c r="D28" s="10" t="inlineStr">
        <is>
          <t>Zhao et al., 2026</t>
        </is>
      </c>
      <c r="E28" s="10" t="inlineStr">
        <is>
          <t>学习引导</t>
        </is>
      </c>
      <c r="F28" s="10" t="inlineStr">
        <is>
          <t>Main algorithm described in the paper; distinguish any separately reported setting</t>
        </is>
      </c>
      <c r="G28" s="10" t="inlineStr">
        <is>
          <t>NONE</t>
        </is>
      </c>
      <c r="H28" s="10" t="inlineStr">
        <is>
          <t>主要分类一致。检查学习拒列触发的定价排除是否有最终恢复，并区分训练划分说明与实际 E0 结果。</t>
        </is>
      </c>
      <c r="I28" s="10" t="inlineStr">
        <is>
          <t>沿用此前 AI 审核，本轮未重读原文</t>
        </is>
      </c>
      <c r="J28" s="10" t="inlineStr">
        <is>
          <t>02_参考文献/论文全文/S097_Zhao_2026.pdf</t>
        </is>
      </c>
      <c r="K28" s="10" t="inlineStr">
        <is>
          <t>02_参考文献/论文全文/S097_Zhao_2026.pdf</t>
        </is>
      </c>
      <c r="L28" s="10" t="inlineStr">
        <is>
          <t>PDF pp. 6–9, §5.2–5.4, Eq. (32) and Figure 4；pp. 10–12, §6.2, Tables 3–4</t>
        </is>
      </c>
      <c r="M28" s="10" t="inlineStr">
        <is>
          <t>MEDIUM</t>
        </is>
      </c>
      <c r="N28" s="10" t="inlineStr">
        <is>
          <t>L6</t>
        </is>
      </c>
      <c r="O28" s="10" t="inlineStr">
        <is>
          <t>L6</t>
        </is>
      </c>
      <c r="P28" s="12" t="inlineStr"/>
      <c r="Q28" s="10" t="inlineStr">
        <is>
          <t>L4</t>
        </is>
      </c>
      <c r="R28" s="10" t="inlineStr">
        <is>
          <t>L4</t>
        </is>
      </c>
      <c r="S28" s="12" t="inlineStr"/>
      <c r="T28" s="10" t="inlineStr">
        <is>
          <t>G5</t>
        </is>
      </c>
      <c r="U28" s="10" t="inlineStr">
        <is>
          <t>G5</t>
        </is>
      </c>
      <c r="V28" s="12" t="inlineStr"/>
      <c r="W28" s="10" t="inlineStr">
        <is>
          <t>NONE</t>
        </is>
      </c>
      <c r="X28" s="10" t="inlineStr">
        <is>
          <t>NONE</t>
        </is>
      </c>
      <c r="Y28" s="12" t="inlineStr"/>
      <c r="Z28" s="10" t="inlineStr">
        <is>
          <t>E2</t>
        </is>
      </c>
      <c r="AA28" s="10" t="inlineStr">
        <is>
          <t>E2</t>
        </is>
      </c>
      <c r="AB28" s="12" t="inlineStr"/>
      <c r="AC28" s="12" t="inlineStr"/>
      <c r="AD28" s="12" t="inlineStr"/>
      <c r="AE28" s="12" t="inlineStr"/>
      <c r="AF28" s="12" t="inlineStr"/>
      <c r="AG28" s="12" t="inlineStr"/>
    </row>
  </sheetData>
  <autoFilter ref="A1:AG28"/>
  <dataValidations count="8">
    <dataValidation sqref="P2:P28" showDropDown="0" showInputMessage="0" showErrorMessage="1" allowBlank="1" errorTitle="无效输入" error="请从下拉列表中选择" type="list">
      <formula1>"L1,L2,L3,L4,L5,L6,NA"</formula1>
    </dataValidation>
    <dataValidation sqref="V2:V28" showDropDown="0" showInputMessage="0" showErrorMessage="1" allowBlank="1" errorTitle="无效输入" error="请从下拉列表中选择" type="list">
      <formula1>"G1,G2,G3,G4,G5,GU,GU-offline"</formula1>
    </dataValidation>
    <dataValidation sqref="S2:S28" showDropDown="0" showInputMessage="1" showErrorMessage="0" allowBlank="1" promptTitle="填写提示" prompt="多个代码用 | 分隔，例如 L4|L6；没有就填 NONE。" type="custom">
      <formula1>TRUE</formula1>
    </dataValidation>
    <dataValidation sqref="Y2:Y28" showDropDown="0" showInputMessage="1" showErrorMessage="0" allowBlank="1" promptTitle="填写提示" prompt="可选。多个代码用 | 分隔，例如 G2|G4；没有就填 NONE；留空表示沿用 v1.6 记录。" type="custom">
      <formula1>TRUE</formula1>
    </dataValidation>
    <dataValidation sqref="AB2:AB28" showDropDown="0" showInputMessage="1" showErrorMessage="0" allowBlank="1" promptTitle="填写提示" prompt="填写所有实际测试过的范围，多个用 | 分隔，如 E2|E4；没有报告计算就填 NONE。" type="custom">
      <formula1>TRUE</formula1>
    </dataValidation>
    <dataValidation sqref="AC2:AC28" showDropDown="0" showInputMessage="0" showErrorMessage="1" allowBlank="1" errorTitle="无效输入" error="请从下拉列表中选择" type="list">
      <formula1>"保持v1.6编码,采用AI建议,部分采用AI建议,改为其他编码,无法判断"</formula1>
    </dataValidation>
    <dataValidation sqref="AE2:AE28" showDropDown="0" showInputMessage="0" showErrorMessage="1" allowBlank="1" errorTitle="无效输入" error="请从下拉列表中选择" type="list">
      <formula1>"是,否"</formula1>
    </dataValidation>
    <dataValidation sqref="AG2:AG28"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9" customWidth="1" min="3" max="3"/>
    <col width="24" customWidth="1" min="4" max="4"/>
    <col width="18" customWidth="1" min="5" max="5"/>
    <col width="7" customWidth="1" min="6" max="6"/>
    <col width="30" customWidth="1" min="7" max="7"/>
    <col width="6" customWidth="1" min="8" max="8"/>
    <col width="8" customWidth="1" min="9" max="9"/>
    <col width="7" customWidth="1" min="10" max="10"/>
    <col width="10" customWidth="1" min="11" max="11"/>
    <col width="30" customWidth="1" min="12" max="12"/>
    <col width="30" customWidth="1" min="13" max="13"/>
    <col width="40" customWidth="1" min="14" max="14"/>
    <col width="24" customWidth="1" min="15" max="15"/>
    <col width="9" customWidth="1" min="16" max="16"/>
    <col width="9" customWidth="1" min="17" max="17"/>
    <col width="8" customWidth="1" min="18" max="18"/>
    <col width="8" customWidth="1" min="19" max="19"/>
    <col width="8" customWidth="1" min="20" max="20"/>
    <col width="9" customWidth="1" min="21" max="21"/>
    <col width="72" customWidth="1" min="22" max="22"/>
    <col width="42" customWidth="1" min="23" max="23"/>
    <col width="58" customWidth="1" min="24" max="24"/>
    <col width="9" customWidth="1" min="25" max="25"/>
    <col width="11" customWidth="1" min="26" max="26"/>
  </cols>
  <sheetData>
    <row r="1" ht="42" customHeight="1">
      <c r="A1" s="7" t="inlineStr">
        <is>
          <t>优先级</t>
        </is>
      </c>
      <c r="B1" s="7" t="inlineStr">
        <is>
          <t>Table A.1 行号</t>
        </is>
      </c>
      <c r="C1" s="7" t="inlineStr">
        <is>
          <t>变体ID</t>
        </is>
      </c>
      <c r="D1" s="7" t="inlineStr">
        <is>
          <t>核对原因</t>
        </is>
      </c>
      <c r="E1" s="7" t="inlineStr">
        <is>
          <t>研究</t>
        </is>
      </c>
      <c r="F1" s="7" t="inlineStr">
        <is>
          <t>类型</t>
        </is>
      </c>
      <c r="G1" s="7" t="inlineStr">
        <is>
          <t>变体描述</t>
        </is>
      </c>
      <c r="H1" s="7" t="inlineStr">
        <is>
          <t>主层</t>
        </is>
      </c>
      <c r="I1" s="7" t="inlineStr">
        <is>
          <t>次层</t>
        </is>
      </c>
      <c r="J1" s="7" t="inlineStr">
        <is>
          <t>主机制</t>
        </is>
      </c>
      <c r="K1" s="7" t="inlineStr">
        <is>
          <t>证据范围</t>
        </is>
      </c>
      <c r="L1" s="7" t="inlineStr">
        <is>
          <t>本地原文（项目文件夹内）</t>
        </is>
      </c>
      <c r="M1" s="7" t="inlineStr">
        <is>
          <t>已有页码定位</t>
        </is>
      </c>
      <c r="N1" s="7" t="inlineStr">
        <is>
          <t>方法依据摘要（AI 整理）</t>
        </is>
      </c>
      <c r="O1" s="7" t="inlineStr">
        <is>
          <t>审核备注</t>
        </is>
      </c>
      <c r="P1" s="8" t="inlineStr">
        <is>
          <t>已打开原文核对 ✎</t>
        </is>
      </c>
      <c r="Q1" s="8" t="inlineStr">
        <is>
          <t>变体描述 ✎</t>
        </is>
      </c>
      <c r="R1" s="8" t="inlineStr">
        <is>
          <t>主层 ✎</t>
        </is>
      </c>
      <c r="S1" s="8" t="inlineStr">
        <is>
          <t>次层 ✎</t>
        </is>
      </c>
      <c r="T1" s="8" t="inlineStr">
        <is>
          <t>主机制 ✎</t>
        </is>
      </c>
      <c r="U1" s="8" t="inlineStr">
        <is>
          <t>证据范围 ✎</t>
        </is>
      </c>
      <c r="V1" s="8" t="inlineStr">
        <is>
          <t>需修改的字段和新值 ✎</t>
        </is>
      </c>
      <c r="W1" s="8" t="inlineStr">
        <is>
          <t>依据页码 ✎</t>
        </is>
      </c>
      <c r="X1" s="8" t="inlineStr">
        <is>
          <t>备注 ✎</t>
        </is>
      </c>
      <c r="Y1" s="8" t="inlineStr">
        <is>
          <t>核对人 ✎</t>
        </is>
      </c>
      <c r="Z1" s="8" t="inlineStr">
        <is>
          <t>日期 ✎</t>
        </is>
      </c>
    </row>
    <row r="2" ht="60" customHeight="1">
      <c r="A2" s="9" t="inlineStr">
        <is>
          <t>必核</t>
        </is>
      </c>
      <c r="B2" s="10" t="n">
        <v>2</v>
      </c>
      <c r="C2" s="10" t="inlineStr">
        <is>
          <t>S017-M1</t>
        </is>
      </c>
      <c r="D2" s="10" t="inlineStr">
        <is>
          <t>完整树评估（S2）</t>
        </is>
      </c>
      <c r="E2" s="10" t="inlineStr">
        <is>
          <t>Desaulniers et al., 2008</t>
        </is>
      </c>
      <c r="F2" s="10" t="inlineStr">
        <is>
          <t>传统</t>
        </is>
      </c>
      <c r="G2" s="10" t="inlineStr">
        <is>
          <t>Multiphase tabu/heuristic DP/exact DP pricing cascade</t>
        </is>
      </c>
      <c r="H2" s="10" t="inlineStr">
        <is>
          <t>L3</t>
        </is>
      </c>
      <c r="I2" s="10" t="inlineStr">
        <is>
          <t>L4|L5|L1</t>
        </is>
      </c>
      <c r="J2" s="10" t="inlineStr">
        <is>
          <t>G2</t>
        </is>
      </c>
      <c r="K2" s="10" t="inlineStr">
        <is>
          <t>E2|E4</t>
        </is>
      </c>
      <c r="L2" s="10" t="inlineStr">
        <is>
          <t>02_参考文献/论文全文/S017_Desaulniers_2008.pdf</t>
        </is>
      </c>
      <c r="M2" s="10" t="inlineStr">
        <is>
          <t>PDFpp5–7§4;Algorithm1p7;printed391–393 || PDFpp11–12§7.2,Tables1–2;printed397–398 || PDFpp15–17Tables6–9;§7.4–7.5;printed401–403</t>
        </is>
      </c>
      <c r="N2" s="10" t="inlineStr">
        <is>
          <t>PDFpp5–7§4Algorithm1: finalphase mustincludeexactDP. Heuristicarcdeletion/aggressivedominance canmissallimprovingcolumns;cannotcertifyfailure. §6.3p11usesprecutcertifiedboundwhenCGreoptimizationhalts early.</t>
        </is>
      </c>
      <c r="O2" s="10" t="inlineStr"/>
      <c r="P2" s="12" t="inlineStr"/>
      <c r="Q2" s="12" t="inlineStr"/>
      <c r="R2" s="12" t="inlineStr"/>
      <c r="S2" s="12" t="str">
        <v>需改</v>
      </c>
      <c r="T2" s="12" t="inlineStr"/>
      <c r="U2" s="12" t="inlineStr"/>
      <c r="V2" s="12" t="str">
        <v>D044 次层：L4|L5</v>
      </c>
      <c r="W2" s="12" t="str">
        <v>D044 PDF 5–7、11–12、14–17；§4.2–4.4，Algorithm 1；§7.2、§7.4；Tables 1–2、6–9。摘录来自 p.7 §4.4。</v>
      </c>
      <c r="X2" s="12" t="str">
        <v>已确认字段已用于新版稿件。未确定字段保留原值并在稿件标 †。原文核验由 Codex 完成；本次记录作者裁决，不代表独立人工复核。</v>
      </c>
      <c r="Y2" s="12" t="str">
        <v>Codex（依据作者裁决）</v>
      </c>
      <c r="Z2" s="12" t="str">
        <v>2026-10-15</v>
      </c>
    </row>
    <row r="3" ht="60" customHeight="1">
      <c r="A3" s="9" t="inlineStr">
        <is>
          <t>必核</t>
        </is>
      </c>
      <c r="B3" s="10" t="n">
        <v>3</v>
      </c>
      <c r="C3" s="10" t="inlineStr">
        <is>
          <t>S017-M2</t>
        </is>
      </c>
      <c r="D3" s="10" t="inlineStr">
        <is>
          <t>完整树评估（S2）</t>
        </is>
      </c>
      <c r="E3" s="10" t="inlineStr">
        <is>
          <t>Desaulniers et al., 2008</t>
        </is>
      </c>
      <c r="F3" s="10" t="inlineStr">
        <is>
          <t>传统</t>
        </is>
      </c>
      <c r="G3" s="10" t="inlineStr">
        <is>
          <t>Dynamically capped partial elementarity</t>
        </is>
      </c>
      <c r="H3" s="10" t="inlineStr">
        <is>
          <t>L4</t>
        </is>
      </c>
      <c r="I3" s="10" t="inlineStr">
        <is>
          <t>L3|L5</t>
        </is>
      </c>
      <c r="J3" s="10" t="inlineStr">
        <is>
          <t>G4</t>
        </is>
      </c>
      <c r="K3" s="10" t="inlineStr">
        <is>
          <t>E2|E4</t>
        </is>
      </c>
      <c r="L3" s="10" t="inlineStr">
        <is>
          <t>02_参考文献/论文全文/S017_Desaulniers_2008.pdf</t>
        </is>
      </c>
      <c r="M3" s="10" t="inlineStr">
        <is>
          <t>PDFpp7–8§5Algorithms2–3;printed393–394 || PDFpp13–14Tables3–5anddiscussion;printed399–400</t>
        </is>
      </c>
      <c r="N3" s="10" t="inlineStr">
        <is>
          <t>PDFpp7–8§5Algorithms2–3: globalmaster-boundrefinement,notDSSRinnerpricing;capdoesnotclaimESPPRCbound. Integerconstraint/branchingframeworkretainsoriginalsolutions.</t>
        </is>
      </c>
      <c r="O3" s="10" t="inlineStr"/>
      <c r="P3" s="12" t="inlineStr"/>
      <c r="Q3" s="12" t="inlineStr"/>
      <c r="R3" s="12" t="inlineStr"/>
      <c r="S3" s="12" t="str">
        <v>需改</v>
      </c>
      <c r="T3" s="12" t="inlineStr"/>
      <c r="U3" s="12" t="inlineStr"/>
      <c r="V3" s="12" t="str">
        <v>D045 次层：L6</v>
      </c>
      <c r="W3" s="12" t="str">
        <v>D045 PDF 7–8、12–17；§5，Algorithms 2–3；§7.3–7.4，Tables 3–7。第一段摘录 p.7 Algorithm 2 step 8，第二段 p.8 §5。</v>
      </c>
      <c r="X3" s="12" t="str">
        <v>已确认字段已用于新版稿件。未确定字段保留原值并在稿件标 †。原文核验由 Codex 完成；本次记录作者裁决，不代表独立人工复核。</v>
      </c>
      <c r="Y3" s="12" t="str">
        <v>Codex（依据作者裁决）</v>
      </c>
      <c r="Z3" s="12" t="str">
        <v>2026-10-15</v>
      </c>
    </row>
    <row r="4" ht="60" customHeight="1">
      <c r="A4" s="9" t="inlineStr">
        <is>
          <t>必核</t>
        </is>
      </c>
      <c r="B4" s="10" t="n">
        <v>4</v>
      </c>
      <c r="C4" s="10" t="inlineStr">
        <is>
          <t>S017-M3</t>
        </is>
      </c>
      <c r="D4" s="10" t="inlineStr">
        <is>
          <t>完整树评估（S2）</t>
        </is>
      </c>
      <c r="E4" s="10" t="inlineStr">
        <is>
          <t>Desaulniers et al., 2008</t>
        </is>
      </c>
      <c r="F4" s="10" t="inlineStr">
        <is>
          <t>传统</t>
        </is>
      </c>
      <c r="G4" s="10" t="inlineStr">
        <is>
          <t>Early-stop cut reoptimization preserving prior node bound</t>
        </is>
      </c>
      <c r="H4" s="10" t="inlineStr">
        <is>
          <t>L2</t>
        </is>
      </c>
      <c r="I4" s="10" t="inlineStr">
        <is>
          <t>L1</t>
        </is>
      </c>
      <c r="J4" s="10" t="inlineStr">
        <is>
          <t>G4</t>
        </is>
      </c>
      <c r="K4" s="10" t="inlineStr">
        <is>
          <t>E4</t>
        </is>
      </c>
      <c r="L4" s="10" t="inlineStr">
        <is>
          <t>02_参考文献/论文全文/S017_Desaulniers_2008.pdf</t>
        </is>
      </c>
      <c r="M4" s="10" t="inlineStr">
        <is>
          <t>PDFp11§6.3;printed397</t>
        </is>
      </c>
      <c r="N4" s="10" t="inlineStr">
        <is>
          <t>PDFp11§6.3 twoexplicitconditions;neveruseuncertifiedcurrentRMPvalueaslowerbound.</t>
        </is>
      </c>
      <c r="O4" s="10" t="inlineStr"/>
      <c r="P4" s="12" t="inlineStr"/>
      <c r="Q4" s="12" t="inlineStr"/>
      <c r="R4" s="12" t="inlineStr"/>
      <c r="S4" s="12" t="str">
        <v>需改</v>
      </c>
      <c r="T4" s="12" t="inlineStr"/>
      <c r="U4" s="12" t="inlineStr"/>
      <c r="V4" s="12" t="str">
        <v>D046 次层：NONE</v>
      </c>
      <c r="W4" s="12" t="str">
        <v>D046 PDF 11、14–17；p.11 §6.3 Heuristic Reoptimizations；§7.4，Tables 6–7。摘录来自 p.11。</v>
      </c>
      <c r="X4" s="12" t="str">
        <v>已确认字段已用于新版稿件。未确定字段保留原值并在稿件标 †。原文核验由 Codex 完成；本次记录作者裁决，不代表独立人工复核。</v>
      </c>
      <c r="Y4" s="12" t="str">
        <v>Codex（依据作者裁决）</v>
      </c>
      <c r="Z4" s="12" t="str">
        <v>2026-10-15</v>
      </c>
    </row>
    <row r="5">
      <c r="A5" s="9" t="inlineStr">
        <is>
          <t>必核</t>
        </is>
      </c>
      <c r="B5" s="10" t="n">
        <v>6</v>
      </c>
      <c r="C5" s="10" t="inlineStr">
        <is>
          <t>S019-M1</t>
        </is>
      </c>
      <c r="D5" s="10" t="inlineStr">
        <is>
          <t>完整树评估（S2）</t>
        </is>
      </c>
      <c r="E5" s="10" t="inlineStr">
        <is>
          <t>Sadykov et al., 2021</t>
        </is>
      </c>
      <c r="F5" s="10" t="inlineStr">
        <is>
          <t>传统</t>
        </is>
      </c>
      <c r="G5" s="10" t="inlineStr">
        <is>
          <t>Bucket graph labeling; automatic bucket size; bucket-arc elimination with jump arcs; integrated BPC</t>
        </is>
      </c>
      <c r="H5" s="10" t="inlineStr">
        <is>
          <t>L5</t>
        </is>
      </c>
      <c r="I5" s="10" t="inlineStr">
        <is>
          <t>L4|L3|L6|L2|L1</t>
        </is>
      </c>
      <c r="J5" s="10" t="inlineStr">
        <is>
          <t>G1</t>
        </is>
      </c>
      <c r="K5" s="10" t="inlineStr">
        <is>
          <t>E2|E4</t>
        </is>
      </c>
      <c r="L5" s="10" t="inlineStr">
        <is>
          <t>02_参考文献/论文全文/S019_Sadykov_2021.pdf</t>
        </is>
      </c>
      <c r="M5" s="10" t="inlineStr">
        <is>
          <t>PDF pp8–11 §§3.3–3.6, Algorithms1–2; article pp7–10 || PDF pp16–18 §5 and§6.2; article pp15–17 || PDF pp18–20 §6.1–6.3; article pp17–19 || PDF p21 Table3; article p20; pp19–20 definitions || PDF pp22–23 §6.4 and Table5; article pp21–22 || PDF pp22–23 §6.5 Table6; article pp21–22 || PDF pp22–24 §6.5 Tables7–8; article pp21–23</t>
        </is>
      </c>
      <c r="N5" s="10" t="inlineStr">
        <is>
          <t>PDF pp12–15 §4, Propositions1–5: retained arcs include all incumbent-improving paths; jump arcs preserve dominance and pricing lower-bound condition(14). PDF p16 §5: two heuristic pricing stages followed by exact labeling.</t>
        </is>
      </c>
      <c r="O5" s="10" t="inlineStr"/>
      <c r="P5" s="12" t="inlineStr"/>
      <c r="Q5" s="12" t="inlineStr"/>
      <c r="R5" s="12" t="inlineStr"/>
      <c r="S5" s="12" t="inlineStr"/>
      <c r="T5" s="12" t="inlineStr"/>
      <c r="U5" s="12" t="inlineStr"/>
      <c r="V5" s="12" t="inlineStr"/>
      <c r="W5" s="12" t="inlineStr"/>
      <c r="X5" s="12" t="inlineStr"/>
      <c r="Y5" s="12" t="inlineStr"/>
      <c r="Z5" s="12" t="inlineStr"/>
    </row>
    <row r="6">
      <c r="A6" s="9" t="inlineStr">
        <is>
          <t>必核</t>
        </is>
      </c>
      <c r="B6" s="10" t="n">
        <v>7</v>
      </c>
      <c r="C6" s="10" t="inlineStr">
        <is>
          <t>S019-M2</t>
        </is>
      </c>
      <c r="D6" s="10" t="inlineStr">
        <is>
          <t>完整树评估（S2）</t>
        </is>
      </c>
      <c r="E6" s="10" t="inlineStr">
        <is>
          <t>Sadykov et al., 2021</t>
        </is>
      </c>
      <c r="F6" s="10" t="inlineStr">
        <is>
          <t>传统</t>
        </is>
      </c>
      <c r="G6" s="10" t="inlineStr">
        <is>
          <t>Bucket graph labeling; automatic bucket size; bucket-arc elimination with jump arcs; integrated BPC</t>
        </is>
      </c>
      <c r="H6" s="10" t="inlineStr">
        <is>
          <t>L4</t>
        </is>
      </c>
      <c r="I6" s="10" t="inlineStr">
        <is>
          <t>L3|L6|L2|L1</t>
        </is>
      </c>
      <c r="J6" s="10" t="inlineStr">
        <is>
          <t>G3</t>
        </is>
      </c>
      <c r="K6" s="10" t="inlineStr">
        <is>
          <t>E2|E4</t>
        </is>
      </c>
      <c r="L6" s="10" t="inlineStr">
        <is>
          <t>02_参考文献/论文全文/S019_Sadykov_2021.pdf</t>
        </is>
      </c>
      <c r="M6" s="10" t="inlineStr">
        <is>
          <t>PDF pp11–15 §4, Figure4, equations14–16, Propositions1–5; article pp10–14</t>
        </is>
      </c>
      <c r="N6" s="10" t="inlineStr">
        <is>
          <t>PDF pp12–15 §4, Propositions1–5: retained arcs include all incumbent-improving paths; jump arcs preserve dominance and pricing lower-bound condition(14). PDF p16 §5: two heuristic pricing stages followed by exact labeling.</t>
        </is>
      </c>
      <c r="O6" s="10" t="inlineStr"/>
      <c r="P6" s="12" t="inlineStr"/>
      <c r="Q6" s="12" t="inlineStr"/>
      <c r="R6" s="12" t="inlineStr"/>
      <c r="S6" s="12" t="inlineStr"/>
      <c r="T6" s="12" t="inlineStr"/>
      <c r="U6" s="12" t="inlineStr"/>
      <c r="V6" s="12" t="inlineStr"/>
      <c r="W6" s="12" t="inlineStr"/>
      <c r="X6" s="12" t="inlineStr"/>
      <c r="Y6" s="12" t="inlineStr"/>
      <c r="Z6" s="12" t="inlineStr"/>
    </row>
    <row r="7" ht="60" customHeight="1">
      <c r="A7" s="9" t="inlineStr">
        <is>
          <t>必核</t>
        </is>
      </c>
      <c r="B7" s="10" t="n">
        <v>8</v>
      </c>
      <c r="C7" s="10" t="inlineStr">
        <is>
          <t>S020-M1</t>
        </is>
      </c>
      <c r="D7" s="10" t="inlineStr">
        <is>
          <t>完整树评估（S2）</t>
        </is>
      </c>
      <c r="E7" s="10" t="inlineStr">
        <is>
          <t>Maher and Rönnberg, 2023</t>
        </is>
      </c>
      <c r="F7" s="10" t="inlineStr">
        <is>
          <t>传统</t>
        </is>
      </c>
      <c r="G7" s="10" t="inlineStr">
        <is>
          <t>Main described algorithm</t>
        </is>
      </c>
      <c r="H7" s="10" t="inlineStr">
        <is>
          <t>L5</t>
        </is>
      </c>
      <c r="I7" s="10" t="inlineStr">
        <is>
          <t>L3|L2|L6</t>
        </is>
      </c>
      <c r="J7" s="10" t="inlineStr">
        <is>
          <t>G5</t>
        </is>
      </c>
      <c r="K7" s="10" t="inlineStr">
        <is>
          <t>E2|E3|E4</t>
        </is>
      </c>
      <c r="L7" s="10" t="inlineStr">
        <is>
          <t>02_参考文献/论文全文/S020_Maher_2023.pdf</t>
        </is>
      </c>
      <c r="M7" s="10" t="inlineStr">
        <is>
          <t>PDF pp. 12–20, §3, Theorems1–2; pp.33–36 Appendix A || PDF pp.29–30, §5.2.2 and Figure4 (rendered)</t>
        </is>
      </c>
      <c r="N7" s="10" t="inlineStr">
        <is>
          <t>Appendix A p.36 explicitly states no guarantee ideal repair columns are generated. Improving accepted solutions satisfy repair MIP constraints, but heuristic stopping/local optimum is not global optimality. Full-tree proofs are supplied by host GCG BPC, not IPColGen.</t>
        </is>
      </c>
      <c r="O7" s="10" t="inlineStr"/>
      <c r="P7" s="12" t="inlineStr"/>
      <c r="Q7" s="12" t="inlineStr"/>
      <c r="R7" s="12" t="inlineStr"/>
      <c r="S7" s="12" t="inlineStr"/>
      <c r="T7" s="12" t="str">
        <v>无法判断</v>
      </c>
      <c r="U7" s="12" t="inlineStr"/>
      <c r="V7" s="12" t="str">
        <v>D088 主机制：未确定。原值只作历史记录，暂不覆盖源文件。</v>
      </c>
      <c r="W7" s="12" t="str">
        <v>D088 PDF PDF pp.12–13、20–24、29–30；§§3–4；Algorithm 2；§5.2.2 Figure 4</v>
      </c>
      <c r="X7" s="12" t="str">
        <v>已确认字段已用于新版稿件。未确定字段保留原值并在稿件标 †。原文核验由 Codex 完成；本次记录作者裁决，不代表独立人工复核。</v>
      </c>
      <c r="Y7" s="12" t="str">
        <v>Codex（依据作者裁决）</v>
      </c>
      <c r="Z7" s="12" t="str">
        <v>2026-10-15</v>
      </c>
    </row>
    <row r="8">
      <c r="A8" s="9" t="inlineStr">
        <is>
          <t>必核</t>
        </is>
      </c>
      <c r="B8" s="10" t="n">
        <v>9</v>
      </c>
      <c r="C8" s="10" t="inlineStr">
        <is>
          <t>S020-M2</t>
        </is>
      </c>
      <c r="D8" s="10" t="inlineStr">
        <is>
          <t>完整树评估（S2）</t>
        </is>
      </c>
      <c r="E8" s="10" t="inlineStr">
        <is>
          <t>Maher and Rönnberg, 2023</t>
        </is>
      </c>
      <c r="F8" s="10" t="inlineStr">
        <is>
          <t>传统</t>
        </is>
      </c>
      <c r="G8" s="10" t="inlineStr">
        <is>
          <t>IPColGen as primal add-on within unchanged GCG BPC</t>
        </is>
      </c>
      <c r="H8" s="10" t="inlineStr">
        <is>
          <t>L3</t>
        </is>
      </c>
      <c r="I8" s="10" t="inlineStr">
        <is>
          <t>L2|L6</t>
        </is>
      </c>
      <c r="J8" s="10" t="inlineStr">
        <is>
          <t>G1</t>
        </is>
      </c>
      <c r="K8" s="10" t="inlineStr">
        <is>
          <t>E3|E4</t>
        </is>
      </c>
      <c r="L8" s="10" t="inlineStr">
        <is>
          <t>02_参考文献/论文全文/S020_Maher_2023.pdf</t>
        </is>
      </c>
      <c r="M8" s="10" t="inlineStr">
        <is>
          <t>PDF pp.20–23, §4 and Algorithm2 || PDF pp.24–28, §5.1–5.2.1 and Figures1–3 (rendered) || PDF pp.30–32, §5.3 and Figures5–6 (rendered); pp.36–38 AppendixB || PDF pp.24,27–32; §5.1.1 gap definition and Figures1–6</t>
        </is>
      </c>
      <c r="N8" s="10" t="inlineStr">
        <is>
          <t>§4 pp20–23 explicitly integrates as primal-heuristic suite; complete BPC retains host proof procedure. This G1 designation applies only to host integration, not stand-alone repair pricing.</t>
        </is>
      </c>
      <c r="O8" s="10" t="inlineStr"/>
      <c r="P8" s="12" t="inlineStr"/>
      <c r="Q8" s="12" t="inlineStr"/>
      <c r="R8" s="12" t="inlineStr"/>
      <c r="S8" s="12" t="inlineStr"/>
      <c r="T8" s="12" t="inlineStr"/>
      <c r="U8" s="12" t="inlineStr"/>
      <c r="V8" s="12" t="inlineStr"/>
      <c r="W8" s="12" t="inlineStr"/>
      <c r="X8" s="12" t="inlineStr"/>
      <c r="Y8" s="12" t="inlineStr"/>
      <c r="Z8" s="12" t="inlineStr"/>
    </row>
    <row r="9">
      <c r="A9" s="9" t="inlineStr">
        <is>
          <t>必核</t>
        </is>
      </c>
      <c r="B9" s="10" t="n">
        <v>10</v>
      </c>
      <c r="C9" s="10" t="inlineStr">
        <is>
          <t>S021-M1</t>
        </is>
      </c>
      <c r="D9" s="10" t="inlineStr">
        <is>
          <t>完整树评估（S2）</t>
        </is>
      </c>
      <c r="E9" s="10" t="inlineStr">
        <is>
          <t>Yang, 2025</t>
        </is>
      </c>
      <c r="F9" s="10" t="inlineStr">
        <is>
          <t>传统</t>
        </is>
      </c>
      <c r="G9" s="10" t="inlineStr">
        <is>
          <t>Main described algorithm</t>
        </is>
      </c>
      <c r="H9" s="10" t="inlineStr">
        <is>
          <t>L6</t>
        </is>
      </c>
      <c r="I9" s="10" t="inlineStr">
        <is>
          <t>L2|L4</t>
        </is>
      </c>
      <c r="J9" s="10" t="inlineStr">
        <is>
          <t>G3</t>
        </is>
      </c>
      <c r="K9" s="10" t="inlineStr">
        <is>
          <t>E2|E3|E4</t>
        </is>
      </c>
      <c r="L9" s="10" t="inlineStr">
        <is>
          <t>02_参考文献/论文全文/S021_Yang_2025.pdf</t>
        </is>
      </c>
      <c r="M9" s="10" t="inlineStr">
        <is>
          <t>PDF pp6–10 §§3.1–4.1, Lemma 1 and Propositions 1–2 || PDF pp11–13, Algorithms 1–2 and §5 || PDF pp17–18, §7.1.1, Figure 3 || PDF pp19–22, Table 1 and Table 6; §7.5 first methodological paragraphs || PDF pp21–23, §7.5 and Table 7 || PDF pp22–23, §7.5.4</t>
        </is>
      </c>
      <c r="N9" s="10" t="inlineStr">
        <is>
          <t>PDF pp6–10 §§3–4: exact enumeration preserves every column eligible to improve the incumbent; reduced-cost gap split and Propositions 1–2 give valid Lagrangian underestimates for testing x_j=1. New duals need be feasible for the small auxiliary LP, not the full original dual. Removal requires a lower bound exceeding the valid UB. Core guarantee applies to safely enumerated pool, not arbitrary learned restriction. Auxiliaries and heuristic extensions separately coded.</t>
        </is>
      </c>
      <c r="O9" s="10" t="inlineStr"/>
      <c r="P9" s="12" t="inlineStr"/>
      <c r="Q9" s="12" t="inlineStr"/>
      <c r="R9" s="12" t="inlineStr"/>
      <c r="S9" s="12" t="inlineStr"/>
      <c r="T9" s="12" t="inlineStr"/>
      <c r="U9" s="12" t="inlineStr"/>
      <c r="V9" s="12" t="inlineStr"/>
      <c r="W9" s="12" t="inlineStr"/>
      <c r="X9" s="12" t="inlineStr"/>
      <c r="Y9" s="12" t="inlineStr"/>
      <c r="Z9" s="12" t="inlineStr"/>
    </row>
    <row r="10" ht="60" customHeight="1">
      <c r="A10" s="9" t="inlineStr">
        <is>
          <t>必核</t>
        </is>
      </c>
      <c r="B10" s="10" t="n">
        <v>11</v>
      </c>
      <c r="C10" s="10" t="inlineStr">
        <is>
          <t>S021-M2</t>
        </is>
      </c>
      <c r="D10" s="10" t="inlineStr">
        <is>
          <t>完整树评估（S2）</t>
        </is>
      </c>
      <c r="E10" s="10" t="inlineStr">
        <is>
          <t>Yang, 2025</t>
        </is>
      </c>
      <c r="F10" s="10" t="inlineStr">
        <is>
          <t>传统</t>
        </is>
      </c>
      <c r="G10" s="10" t="inlineStr">
        <is>
          <t>restricted cut addition with pool restoration</t>
        </is>
      </c>
      <c r="H10" s="10" t="inlineStr">
        <is>
          <t>L2</t>
        </is>
      </c>
      <c r="I10" s="10" t="inlineStr">
        <is>
          <t>L6</t>
        </is>
      </c>
      <c r="J10" s="10" t="inlineStr">
        <is>
          <t>G2</t>
        </is>
      </c>
      <c r="K10" s="10" t="inlineStr">
        <is>
          <t>E2|E3|E4</t>
        </is>
      </c>
      <c r="L10" s="10" t="inlineStr">
        <is>
          <t>02_参考文献/论文全文/S021_Yang_2025.pdf</t>
        </is>
      </c>
      <c r="M10" s="10" t="inlineStr">
        <is>
          <t>PDF p15, §6.2</t>
        </is>
      </c>
      <c r="N10" s="10" t="inlineStr">
        <is>
          <t>PDF p15 §6.2 restores all remaining enumerated columns before final lower bound. Intermediate restricted objectives are not certified bounds.</t>
        </is>
      </c>
      <c r="O10" s="10" t="inlineStr"/>
      <c r="P10" s="12" t="inlineStr"/>
      <c r="Q10" s="12" t="inlineStr"/>
      <c r="R10" s="12" t="inlineStr"/>
      <c r="S10" s="12" t="inlineStr"/>
      <c r="T10" s="12" t="inlineStr"/>
      <c r="U10" s="12" t="str">
        <v>需改</v>
      </c>
      <c r="V10" s="12" t="str">
        <v>D008 证据范围：E2</v>
      </c>
      <c r="W10" s="12" t="str">
        <v>D008 PDF PDF pp.13、15、18–19、21；§6引言；§6.2；§7.2 Figure 4和Table 1；§7.5</v>
      </c>
      <c r="X10" s="12" t="str">
        <v>已确认字段已用于新版稿件。未确定字段保留原值并在稿件标 †。原文核验由 Codex 完成；本次记录作者裁决，不代表独立人工复核。</v>
      </c>
      <c r="Y10" s="12" t="str">
        <v>Codex（依据作者裁决）</v>
      </c>
      <c r="Z10" s="12" t="str">
        <v>2026-10-15</v>
      </c>
    </row>
    <row r="11" ht="60" customHeight="1">
      <c r="A11" s="9" t="inlineStr">
        <is>
          <t>必核</t>
        </is>
      </c>
      <c r="B11" s="10" t="n">
        <v>12</v>
      </c>
      <c r="C11" s="10" t="inlineStr">
        <is>
          <t>S021-M3</t>
        </is>
      </c>
      <c r="D11" s="10" t="inlineStr">
        <is>
          <t>完整树评估（S2）</t>
        </is>
      </c>
      <c r="E11" s="10" t="inlineStr">
        <is>
          <t>Yang, 2025</t>
        </is>
      </c>
      <c r="F11" s="10" t="inlineStr">
        <is>
          <t>传统</t>
        </is>
      </c>
      <c r="G11" s="10" t="inlineStr">
        <is>
          <t>conditional variable-type relaxation</t>
        </is>
      </c>
      <c r="H11" s="10" t="inlineStr">
        <is>
          <t>L2</t>
        </is>
      </c>
      <c r="I11" s="10" t="inlineStr">
        <is>
          <t>L6</t>
        </is>
      </c>
      <c r="J11" s="10" t="inlineStr">
        <is>
          <t>G4</t>
        </is>
      </c>
      <c r="K11" s="10" t="inlineStr">
        <is>
          <t>E2|E3|E4</t>
        </is>
      </c>
      <c r="L11" s="10" t="inlineStr">
        <is>
          <t>02_参考文献/论文全文/S021_Yang_2025.pdf</t>
        </is>
      </c>
      <c r="M11" s="10" t="inlineStr">
        <is>
          <t>PDF pp13–15, §6.1 and Propositions 3–4; Algorithm 3</t>
        </is>
      </c>
      <c r="N11" s="10" t="inlineStr">
        <is>
          <t>PDF pp13–15 Propositions3–4: binary coefficients, integral RHS, extreme-point condition, pair enumeration and lazy/no-good constraints where needed.</t>
        </is>
      </c>
      <c r="O11" s="10" t="inlineStr"/>
      <c r="P11" s="12" t="inlineStr"/>
      <c r="Q11" s="12" t="inlineStr"/>
      <c r="R11" s="12" t="inlineStr"/>
      <c r="S11" s="12" t="inlineStr"/>
      <c r="T11" s="12" t="inlineStr"/>
      <c r="U11" s="12" t="str">
        <v>需改</v>
      </c>
      <c r="V11" s="12" t="str">
        <v>D009 证据范围：E2</v>
      </c>
      <c r="W11" s="12" t="str">
        <v>D009 PDF PDF pp.13–15、18–19、21；§6.1 Propositions 3–4；Algorithm 3；§7.2；§7.5</v>
      </c>
      <c r="X11" s="12" t="str">
        <v>已确认字段已用于新版稿件。未确定字段保留原值并在稿件标 †。原文核验由 Codex 完成；本次记录作者裁决，不代表独立人工复核。</v>
      </c>
      <c r="Y11" s="12" t="str">
        <v>Codex（依据作者裁决）</v>
      </c>
      <c r="Z11" s="12" t="str">
        <v>2026-10-15</v>
      </c>
    </row>
    <row r="12">
      <c r="A12" s="9" t="inlineStr">
        <is>
          <t>必核</t>
        </is>
      </c>
      <c r="B12" s="10" t="n">
        <v>13</v>
      </c>
      <c r="C12" s="10" t="inlineStr">
        <is>
          <t>S021-M4</t>
        </is>
      </c>
      <c r="D12" s="10" t="inlineStr">
        <is>
          <t>只有研究族级证据，需补本变体页码；完整树评估（S2）</t>
        </is>
      </c>
      <c r="E12" s="10" t="inlineStr">
        <is>
          <t>Yang, 2025</t>
        </is>
      </c>
      <c r="F12" s="10" t="inlineStr">
        <is>
          <t>传统</t>
        </is>
      </c>
      <c r="G12" s="10" t="inlineStr">
        <is>
          <t>trial-enumeration primal heuristic</t>
        </is>
      </c>
      <c r="H12" s="10" t="inlineStr">
        <is>
          <t>L6</t>
        </is>
      </c>
      <c r="I12" s="10" t="inlineStr">
        <is>
          <t>L2</t>
        </is>
      </c>
      <c r="J12" s="10" t="inlineStr">
        <is>
          <t>G5</t>
        </is>
      </c>
      <c r="K12" s="10" t="inlineStr">
        <is>
          <t>E2|E3|E4</t>
        </is>
      </c>
      <c r="L12" s="10" t="inlineStr">
        <is>
          <t>02_参考文献/论文全文/S021_Yang_2025.pdf</t>
        </is>
      </c>
      <c r="M12" s="10" t="inlineStr"/>
      <c r="N12" s="10" t="inlineStr">
        <is>
          <t>PDF pp15–16: trial gap and column cap restrict the primal search. It supplies feasible upper bounds to an otherwise exact framework; standalone heuristic has no global proof.</t>
        </is>
      </c>
      <c r="O12" s="10" t="inlineStr">
        <is>
          <t>No direct method_id join; family evidence and method description require variant-specific allocation.</t>
        </is>
      </c>
      <c r="P12" s="12" t="inlineStr"/>
      <c r="Q12" s="12" t="inlineStr"/>
      <c r="R12" s="12" t="inlineStr"/>
      <c r="S12" s="12" t="inlineStr"/>
      <c r="T12" s="12" t="inlineStr"/>
      <c r="U12" s="12" t="inlineStr"/>
      <c r="V12" s="12" t="inlineStr"/>
      <c r="W12" s="12" t="inlineStr"/>
      <c r="X12" s="12" t="inlineStr"/>
      <c r="Y12" s="12" t="inlineStr"/>
      <c r="Z12" s="12" t="inlineStr"/>
    </row>
    <row r="13" ht="60" customHeight="1">
      <c r="A13" s="9" t="inlineStr">
        <is>
          <t>必核</t>
        </is>
      </c>
      <c r="B13" s="10" t="n">
        <v>14</v>
      </c>
      <c r="C13" s="10" t="inlineStr">
        <is>
          <t>S022-M1</t>
        </is>
      </c>
      <c r="D13" s="10" t="inlineStr">
        <is>
          <t>完整树评估（S2）</t>
        </is>
      </c>
      <c r="E13" s="10" t="inlineStr">
        <is>
          <t>Michelini et al., 2026</t>
        </is>
      </c>
      <c r="F13" s="10" t="inlineStr">
        <is>
          <t>传统</t>
        </is>
      </c>
      <c r="G13" s="10" t="inlineStr">
        <is>
          <t>Main described algorithm</t>
        </is>
      </c>
      <c r="H13" s="10" t="inlineStr">
        <is>
          <t>L4</t>
        </is>
      </c>
      <c r="I13" s="10" t="inlineStr">
        <is>
          <t>L3|L6|L1</t>
        </is>
      </c>
      <c r="J13" s="10" t="inlineStr">
        <is>
          <t>G4</t>
        </is>
      </c>
      <c r="K13" s="10" t="inlineStr">
        <is>
          <t>E2|E3|E4</t>
        </is>
      </c>
      <c r="L13" s="10" t="inlineStr">
        <is>
          <t>02_参考文献/论文全文/S022_Michelini_2026.pdf</t>
        </is>
      </c>
      <c r="M13" s="10" t="inlineStr">
        <is>
          <t>PDF pp.13–17, §3.2.2–3.2.4 || PDF pp.21–24, §4.2,Tables2–7; p.33 AppendixAintroduction || PDF pp.23–24 §4.2 || PDF p.41 TableA5 andp.42 TableA6 (bothrenderedandvisuallyverified) || PDF pp.28–29 Figures3–4;pp.48–49 TableA11</t>
        </is>
      </c>
      <c r="N13" s="10" t="inlineStr">
        <is>
          <t>§3.2.2–3.2.4 describes exact solution of progressively restricted relaxation; ng algorithms retain relaxed bound, elementary variants continue until elementary best path. Fulltree branches on binaryarcflow (§3.3.2). Author reports exact framework, but conflicting claimedoptima inTableA5 mean empirical certification cannot be treated as independently validated. No extrapolation from ng lowerbound to elementary LP equality.</t>
        </is>
      </c>
      <c r="O13" s="10" t="inlineStr"/>
      <c r="P13" s="12" t="inlineStr"/>
      <c r="Q13" s="12" t="str">
        <v>无法判断</v>
      </c>
      <c r="R13" s="12" t="inlineStr"/>
      <c r="S13" s="12" t="str">
        <v>无法判断</v>
      </c>
      <c r="T13" s="12" t="inlineStr"/>
      <c r="U13" s="12" t="str">
        <v>无法判断</v>
      </c>
      <c r="V13" s="12" t="str">
        <v>D079 变体描述；次层；证据范围：未确定。原值只作历史记录，暂不覆盖源文件。</v>
      </c>
      <c r="W13" s="12" t="str">
        <v>D079 PDF PDF pp.13–18、21–23、33；§§3.2.2–3.2.4；§4.2；Appendix A</v>
      </c>
      <c r="X13" s="12" t="str">
        <v>已确认字段已用于新版稿件。未确定字段保留原值并在稿件标 †。原文核验由 Codex 完成；本次记录作者裁决，不代表独立人工复核。</v>
      </c>
      <c r="Y13" s="12" t="str">
        <v>Codex（依据作者裁决）</v>
      </c>
      <c r="Z13" s="12" t="str">
        <v>2026-10-15</v>
      </c>
    </row>
    <row r="14" ht="60" customHeight="1">
      <c r="A14" s="9" t="inlineStr">
        <is>
          <t>必核</t>
        </is>
      </c>
      <c r="B14" s="10" t="n">
        <v>15</v>
      </c>
      <c r="C14" s="10" t="inlineStr">
        <is>
          <t>S022-M2</t>
        </is>
      </c>
      <c r="D14" s="10" t="inlineStr">
        <is>
          <t>完整树评估（S2）</t>
        </is>
      </c>
      <c r="E14" s="10" t="inlineStr">
        <is>
          <t>Michelini et al., 2026</t>
        </is>
      </c>
      <c r="F14" s="10" t="inlineStr">
        <is>
          <t>传统</t>
        </is>
      </c>
      <c r="G14" s="10" t="inlineStr">
        <is>
          <t>Strengthened waiting-cost dominance</t>
        </is>
      </c>
      <c r="H14" s="10" t="inlineStr">
        <is>
          <t>L4</t>
        </is>
      </c>
      <c r="I14" s="10" t="inlineStr">
        <is>
          <t>L3|L6|L1</t>
        </is>
      </c>
      <c r="J14" s="10" t="inlineStr">
        <is>
          <t>G3</t>
        </is>
      </c>
      <c r="K14" s="10" t="inlineStr">
        <is>
          <t>E2|E3|E4</t>
        </is>
      </c>
      <c r="L14" s="10" t="inlineStr">
        <is>
          <t>02_参考文献/论文全文/S022_Michelini_2026.pdf</t>
        </is>
      </c>
      <c r="M14" s="10" t="inlineStr">
        <is>
          <t>PDF pp.9–13, §3.1, Proposition1; §3.2.1</t>
        </is>
      </c>
      <c r="N14" s="10" t="inlineStr">
        <is>
          <t>PDF pp11–12 Proposition1; onlysufficientcondition. Extensionfeasibilityproofomitted; p13bound/concatenationdetailsdeferredtothesis; empiricalconflictingoptima remain unresolved.</t>
        </is>
      </c>
      <c r="O14" s="10" t="inlineStr"/>
      <c r="P14" s="12" t="inlineStr"/>
      <c r="Q14" s="12" t="inlineStr"/>
      <c r="R14" s="12" t="inlineStr"/>
      <c r="S14" s="12" t="str">
        <v>需改</v>
      </c>
      <c r="T14" s="12" t="inlineStr"/>
      <c r="U14" s="12" t="inlineStr"/>
      <c r="V14" s="12" t="str">
        <v>D047 次层：NONE</v>
      </c>
      <c r="W14" s="12" t="str">
        <v>D047 PDF PDF pp.9–13、21–23；§3.1 Proposition 1；§4.2 Tables 4–5</v>
      </c>
      <c r="X14" s="12" t="str">
        <v>已确认字段已用于新版稿件。未确定字段保留原值并在稿件标 †。原文核验由 Codex 完成；本次记录作者裁决，不代表独立人工复核。</v>
      </c>
      <c r="Y14" s="12" t="str">
        <v>Codex（依据作者裁决）</v>
      </c>
      <c r="Z14" s="12" t="str">
        <v>2026-10-15</v>
      </c>
    </row>
    <row r="15">
      <c r="A15" s="9" t="inlineStr">
        <is>
          <t>必核</t>
        </is>
      </c>
      <c r="B15" s="10" t="n">
        <v>17</v>
      </c>
      <c r="C15" s="10" t="inlineStr">
        <is>
          <t>S023-M1</t>
        </is>
      </c>
      <c r="D15" s="10" t="inlineStr">
        <is>
          <t>完整树评估（S2）</t>
        </is>
      </c>
      <c r="E15" s="10" t="inlineStr">
        <is>
          <t>du Merle et al., 1999</t>
        </is>
      </c>
      <c r="F15" s="10" t="inlineStr">
        <is>
          <t>传统</t>
        </is>
      </c>
      <c r="G15" s="10" t="inlineStr">
        <is>
          <t>Linear penalty plus bounded surplus/slack stabilization</t>
        </is>
      </c>
      <c r="H15" s="10" t="inlineStr">
        <is>
          <t>L2</t>
        </is>
      </c>
      <c r="I15" s="10" t="inlineStr">
        <is>
          <t>NONE</t>
        </is>
      </c>
      <c r="J15" s="10" t="inlineStr">
        <is>
          <t>G4</t>
        </is>
      </c>
      <c r="K15" s="10" t="inlineStr">
        <is>
          <t>E2|E4</t>
        </is>
      </c>
      <c r="L15" s="10" t="inlineStr">
        <is>
          <t>02_参考文献/论文全文/S023_Merle_1999.pdf</t>
        </is>
      </c>
      <c r="M15" s="10" t="inlineStr">
        <is>
          <t>PDFpp3–5§§2–3;printed231–233;Fig1 || PDFp6Table1;printed234 || PDFp7Table2;printed235 || PDFp8Table3;printed236</t>
        </is>
      </c>
      <c r="N15" s="10" t="inlineStr">
        <is>
          <t>PDFpp3–5§§2–3: exactpricing nonnegative and surplus/slack y=0 for stopping. Finite convergence includes making perturbation bounds vanish finitely or statedBOXSTEP updates; arbitrary updates not guaranteed.</t>
        </is>
      </c>
      <c r="O15" s="10" t="inlineStr"/>
      <c r="P15" s="12" t="inlineStr"/>
      <c r="Q15" s="12" t="inlineStr"/>
      <c r="R15" s="12" t="inlineStr"/>
      <c r="S15" s="12" t="inlineStr"/>
      <c r="T15" s="12" t="inlineStr"/>
      <c r="U15" s="12" t="inlineStr"/>
      <c r="V15" s="12" t="inlineStr"/>
      <c r="W15" s="12" t="inlineStr"/>
      <c r="X15" s="12" t="inlineStr"/>
      <c r="Y15" s="12" t="inlineStr"/>
      <c r="Z15" s="12" t="inlineStr"/>
    </row>
    <row r="16" ht="60" customHeight="1">
      <c r="A16" s="9" t="inlineStr">
        <is>
          <t>必核</t>
        </is>
      </c>
      <c r="B16" s="10" t="n">
        <v>23</v>
      </c>
      <c r="C16" s="10" t="inlineStr">
        <is>
          <t>S028-M1</t>
        </is>
      </c>
      <c r="D16" s="10" t="inlineStr">
        <is>
          <t>完整树评估（S2）</t>
        </is>
      </c>
      <c r="E16" s="10" t="inlineStr">
        <is>
          <t>Gschwind and Irnich, 2015</t>
        </is>
      </c>
      <c r="F16" s="10" t="inlineStr">
        <is>
          <t>传统</t>
        </is>
      </c>
      <c r="G16" s="10" t="inlineStr">
        <is>
          <t>Strong dynamic-time-window dominance and feasibility propagation in DARP pricing</t>
        </is>
      </c>
      <c r="H16" s="10" t="inlineStr">
        <is>
          <t>L4</t>
        </is>
      </c>
      <c r="I16" s="10" t="inlineStr">
        <is>
          <t>L5</t>
        </is>
      </c>
      <c r="J16" s="10" t="inlineStr">
        <is>
          <t>G3</t>
        </is>
      </c>
      <c r="K16" s="10" t="inlineStr">
        <is>
          <t>E2|E4</t>
        </is>
      </c>
      <c r="L16" s="10" t="inlineStr">
        <is>
          <t>02_参考文献/论文全文/S028_Gschwind_2015.pdf</t>
        </is>
      </c>
      <c r="M16" s="10" t="inlineStr">
        <is>
          <t>PDFpp7–8§4,Proposition1andExample1;printed340–341 || PDFpp10–13§§4.3–4.6,Propositions3–6;printed343–346 || PDFpp13–14§5and§6;printed346–347 || PDFp14§6;p17§6.2;printed347,350 || PDFpp15–16Tables3–4;printed348–349 || PDFp18Tables6–7;printed351;visuallychecked || PDFp19Table8;printed352</t>
        </is>
      </c>
      <c r="N16" s="10" t="inlineStr">
        <is>
          <t>PDFpp7–12§4Propositions2–6: all dominance assumesdeliverytriangleinequality forreducedcosts;validity alsoassumesmaximumridetime,unrestrictedwaiting,andstatedtime/resource model. Exactpricingfallback §5p13. ProofsareinunavailableOnlineAppendixA,soG3isreportedtheoremconditionratherthanindependentlyauditedproof.</t>
        </is>
      </c>
      <c r="O16" s="10" t="inlineStr"/>
      <c r="P16" s="12" t="inlineStr"/>
      <c r="Q16" s="12" t="inlineStr"/>
      <c r="R16" s="12" t="inlineStr"/>
      <c r="S16" s="12" t="str">
        <v>需改</v>
      </c>
      <c r="T16" s="12" t="inlineStr"/>
      <c r="U16" s="12" t="inlineStr"/>
      <c r="V16" s="12" t="str">
        <v>D048 次层：NONE</v>
      </c>
      <c r="W16" s="12" t="str">
        <v>D048 PDF 7–13、14、17–18；§4，Propositions 3–6，Algorithm 1；§6.1–6.2，Tables 6–7</v>
      </c>
      <c r="X16" s="12" t="str">
        <v>已确认字段已用于新版稿件。未确定字段保留原值并在稿件标 †。原文核验由 Codex 完成；本次记录作者裁决，不代表独立人工复核。</v>
      </c>
      <c r="Y16" s="12" t="str">
        <v>Codex（依据作者裁决）</v>
      </c>
      <c r="Z16" s="12" t="str">
        <v>2026-10-15</v>
      </c>
    </row>
    <row r="17">
      <c r="A17" s="9" t="inlineStr">
        <is>
          <t>必核</t>
        </is>
      </c>
      <c r="B17" s="10" t="n">
        <v>26</v>
      </c>
      <c r="C17" s="10" t="inlineStr">
        <is>
          <t>S030-M2</t>
        </is>
      </c>
      <c r="D17" s="10" t="inlineStr">
        <is>
          <t>只有研究族级证据，需补本变体页码</t>
        </is>
      </c>
      <c r="E17" s="10" t="inlineStr">
        <is>
          <t>Salani et al., 2024</t>
        </is>
      </c>
      <c r="F17" s="10" t="inlineStr">
        <is>
          <t>传统</t>
        </is>
      </c>
      <c r="G17" s="10" t="inlineStr">
        <is>
          <t>Semi-dynamic half-way point and node/round-robin selection</t>
        </is>
      </c>
      <c r="H17" s="10" t="inlineStr">
        <is>
          <t>L5</t>
        </is>
      </c>
      <c r="I17" s="10" t="inlineStr">
        <is>
          <t>NONE</t>
        </is>
      </c>
      <c r="J17" s="10" t="inlineStr">
        <is>
          <t>G1</t>
        </is>
      </c>
      <c r="K17" s="10" t="inlineStr">
        <is>
          <t>E1</t>
        </is>
      </c>
      <c r="L17" s="10" t="inlineStr">
        <is>
          <t>02_参考文献/论文全文/S030_Salani_2024.pdf</t>
        </is>
      </c>
      <c r="M17" s="10" t="inlineStr"/>
      <c r="N17" s="10" t="inlineStr">
        <is>
          <t>PDF p.8 Eq.2 and pp.11–12: alter ordering/meeting point while retaining valid bidirectional coverage and dominance; no label restriction solely from ordering.</t>
        </is>
      </c>
      <c r="O17" s="10" t="inlineStr">
        <is>
          <t>No direct method_id join; family evidence and method description require variant-specific allocation.</t>
        </is>
      </c>
      <c r="P17" s="12" t="inlineStr"/>
      <c r="Q17" s="12" t="inlineStr"/>
      <c r="R17" s="12" t="inlineStr"/>
      <c r="S17" s="12" t="inlineStr"/>
      <c r="T17" s="12" t="inlineStr"/>
      <c r="U17" s="12" t="inlineStr"/>
      <c r="V17" s="12" t="inlineStr"/>
      <c r="W17" s="12" t="inlineStr"/>
      <c r="X17" s="12" t="inlineStr"/>
      <c r="Y17" s="12" t="inlineStr"/>
      <c r="Z17" s="12" t="inlineStr"/>
    </row>
    <row r="18" ht="60" customHeight="1">
      <c r="A18" s="9" t="inlineStr">
        <is>
          <t>必核</t>
        </is>
      </c>
      <c r="B18" s="10" t="n">
        <v>27</v>
      </c>
      <c r="C18" s="10" t="inlineStr">
        <is>
          <t>S030-M3</t>
        </is>
      </c>
      <c r="D18" s="10" t="inlineStr">
        <is>
          <t>只有研究族级证据，需补本变体页码</t>
        </is>
      </c>
      <c r="E18" s="10" t="inlineStr">
        <is>
          <t>Salani et al., 2024</t>
        </is>
      </c>
      <c r="F18" s="10" t="inlineStr">
        <is>
          <t>传统</t>
        </is>
      </c>
      <c r="G18" s="10" t="inlineStr">
        <is>
          <t>NG/NGC without elementary repair</t>
        </is>
      </c>
      <c r="H18" s="10" t="inlineStr">
        <is>
          <t>L4</t>
        </is>
      </c>
      <c r="I18" s="10" t="inlineStr">
        <is>
          <t>L5</t>
        </is>
      </c>
      <c r="J18" s="10" t="inlineStr">
        <is>
          <t>G4</t>
        </is>
      </c>
      <c r="K18" s="10" t="inlineStr">
        <is>
          <t>E1</t>
        </is>
      </c>
      <c r="L18" s="10" t="inlineStr">
        <is>
          <t>02_参考文献/论文全文/S030_Salani_2024.pdf</t>
        </is>
      </c>
      <c r="M18" s="10" t="inlineStr"/>
      <c r="N18" s="10" t="inlineStr">
        <is>
          <t>PDF p.7: exact for corresponding relaxed route space, explicitly not an elementary path certificate.</t>
        </is>
      </c>
      <c r="O18" s="10" t="inlineStr">
        <is>
          <t>No direct method_id join; family evidence and method description require variant-specific allocation.</t>
        </is>
      </c>
      <c r="P18" s="12" t="inlineStr"/>
      <c r="Q18" s="12" t="inlineStr"/>
      <c r="R18" s="12" t="inlineStr"/>
      <c r="S18" s="12" t="inlineStr"/>
      <c r="T18" s="12" t="inlineStr"/>
      <c r="U18" s="12" t="str">
        <v>无法判断</v>
      </c>
      <c r="V18" s="12" t="str">
        <v>D102 证据范围：未确定。原值只作历史记录，暂不覆盖源文件。</v>
      </c>
      <c r="W18" s="12" t="str">
        <v>D102 PDF 7–8、16–20；§3.1 Relaxation schemes；§4.2–4.3</v>
      </c>
      <c r="X18" s="12" t="str">
        <v>已确认字段已用于新版稿件。未确定字段保留原值并在稿件标 †。原文核验由 Codex 完成；本次记录作者裁决，不代表独立人工复核。</v>
      </c>
      <c r="Y18" s="12" t="str">
        <v>Codex（依据作者裁决）</v>
      </c>
      <c r="Z18" s="12" t="str">
        <v>2026-10-15</v>
      </c>
    </row>
    <row r="19" ht="60" customHeight="1">
      <c r="A19" s="9" t="inlineStr">
        <is>
          <t>必核</t>
        </is>
      </c>
      <c r="B19" s="10" t="n">
        <v>28</v>
      </c>
      <c r="C19" s="10" t="inlineStr">
        <is>
          <t>S031-M1</t>
        </is>
      </c>
      <c r="D19" s="10" t="inlineStr">
        <is>
          <t>完整树评估（S2）</t>
        </is>
      </c>
      <c r="E19" s="10" t="inlineStr">
        <is>
          <t>Faldum et al., 2024</t>
        </is>
      </c>
      <c r="F19" s="10" t="inlineStr">
        <is>
          <t>传统</t>
        </is>
      </c>
      <c r="G19" s="10" t="inlineStr">
        <is>
          <t>Partial dominance for one-segment linear resource tradeoff; double bookkeeping and propagated residual segment</t>
        </is>
      </c>
      <c r="H19" s="10" t="inlineStr">
        <is>
          <t>L4</t>
        </is>
      </c>
      <c r="I19" s="10" t="inlineStr">
        <is>
          <t>L5</t>
        </is>
      </c>
      <c r="J19" s="10" t="inlineStr">
        <is>
          <t>G3</t>
        </is>
      </c>
      <c r="K19" s="10" t="inlineStr">
        <is>
          <t>E1|E4</t>
        </is>
      </c>
      <c r="L19" s="10" t="inlineStr">
        <is>
          <t>02_参考文献/论文全文/S031_Faldum_2024.pdf</t>
        </is>
      </c>
      <c r="M19" s="10" t="inlineStr">
        <is>
          <t>PDF pp2–3 Propositions1–2;pp7–13§3.1,DC1–DC4,eq3;printed1064–1075 || PDF pp13–17§§3.2–3.3;pp21–23§4;printed1075–1085 || PDF pp23–25§§5.1–5.2;printed1085–1087 || PDF pp26–28§5.4;printed1088–1090 || PDF pp31–32 Appendix Tables4–6;printed1093–1094 || PDF pp31–32 Appendix Tables4–5;printed1093–1094 || PDF pp29–30§5.5 and Figure6;printed1091–1092</t>
        </is>
      </c>
      <c r="N19" s="10" t="inlineStr">
        <is>
          <t>PDF pp2–3 Propositions1–2;pp7–13§3.1 and conditionsDC1–DC4;pp20–23 problem-specific other-resource conditions. Label deletion only when all feasible extensions covered by dominating labels. Integer rounding requires integer-domain validity; closing open residual intervals weakens dominance safely.</t>
        </is>
      </c>
      <c r="O19" s="10" t="inlineStr"/>
      <c r="P19" s="12" t="inlineStr"/>
      <c r="Q19" s="12" t="inlineStr"/>
      <c r="R19" s="12" t="inlineStr"/>
      <c r="S19" s="12" t="str">
        <v>需改</v>
      </c>
      <c r="T19" s="12" t="inlineStr"/>
      <c r="U19" s="12" t="inlineStr"/>
      <c r="V19" s="12" t="str">
        <v>D049 次层：NONE</v>
      </c>
      <c r="W19" s="12" t="str">
        <v>D049 PDF 2–3、13–17、23–30；Propositions 1–2；§3.2–3.3；§5.1、5.4、5.5</v>
      </c>
      <c r="X19" s="12" t="str">
        <v>已确认字段已用于新版稿件。未确定字段保留原值并在稿件标 †。原文核验由 Codex 完成；本次记录作者裁决，不代表独立人工复核。</v>
      </c>
      <c r="Y19" s="12" t="str">
        <v>Codex（依据作者裁决）</v>
      </c>
      <c r="Z19" s="12" t="str">
        <v>2026-10-15</v>
      </c>
    </row>
    <row r="20" ht="60" customHeight="1">
      <c r="A20" s="9" t="inlineStr">
        <is>
          <t>必核</t>
        </is>
      </c>
      <c r="B20" s="10" t="n">
        <v>31</v>
      </c>
      <c r="C20" s="10" t="inlineStr">
        <is>
          <t>S033-M1</t>
        </is>
      </c>
      <c r="D20" s="10" t="inlineStr">
        <is>
          <t>完整树评估（S2）</t>
        </is>
      </c>
      <c r="E20" s="10" t="inlineStr">
        <is>
          <t>Ropke and Cordeau, 2009</t>
        </is>
      </c>
      <c r="F20" s="10" t="inlineStr">
        <is>
          <t>传统</t>
        </is>
      </c>
      <c r="G20" s="10" t="inlineStr">
        <is>
          <t>Main described algorithm</t>
        </is>
      </c>
      <c r="H20" s="10" t="inlineStr">
        <is>
          <t>L4</t>
        </is>
      </c>
      <c r="I20" s="10" t="inlineStr">
        <is>
          <t>L3|L5|L1|L2</t>
        </is>
      </c>
      <c r="J20" s="10" t="inlineStr">
        <is>
          <t>G3</t>
        </is>
      </c>
      <c r="K20" s="10" t="inlineStr">
        <is>
          <t>E2|E4</t>
        </is>
      </c>
      <c r="L20" s="10" t="inlineStr">
        <is>
          <t>02_参考文献/论文全文/S033_Ropke_2009.pdf</t>
        </is>
      </c>
      <c r="M20" s="10" t="inlineStr">
        <is>
          <t>PDF pp. 6–8, §3.1–3.3, (23), Lemma 1, Proposition 1 || PDF pp. 13–14, §7 and Table 2 discussion; pp. 17–19 Tables 5–7 || PDF p. 19, §7.2 end || PDF pp. 14, 18–20, §7 and §7.3 Table 8</t>
        </is>
      </c>
      <c r="N20" s="10" t="inlineStr">
        <is>
          <t>Lemma 1 preserves route costs through matched pickup-delivery cancellation; Proposition 1 ensures delivery triangle inequality, required by dominance (23). Arc deletion must preserve needed shortcuts. Exact pricing verifies absence of negative columns when needed for valid bound/fathoming (§6.1).</t>
        </is>
      </c>
      <c r="O20" s="10" t="inlineStr"/>
      <c r="P20" s="12" t="inlineStr"/>
      <c r="Q20" s="12" t="str">
        <v>无法判断</v>
      </c>
      <c r="R20" s="12" t="inlineStr"/>
      <c r="S20" s="12" t="str">
        <v>无法判断</v>
      </c>
      <c r="T20" s="12" t="inlineStr"/>
      <c r="U20" s="12" t="inlineStr"/>
      <c r="V20" s="12" t="str">
        <v>D082 变体描述；次层：未确定。原值只作历史记录，暂不覆盖源文件。</v>
      </c>
      <c r="W20" s="12" t="str">
        <v>D082 PDF 6–8、19；§3.1 Eq.(23)；§3.2.1；§3.3 Lemma 1及Proposition 1；Table 8</v>
      </c>
      <c r="X20" s="12" t="str">
        <v>已确认字段已用于新版稿件。未确定字段保留原值并在稿件标 †。原文核验由 Codex 完成；本次记录作者裁决，不代表独立人工复核。</v>
      </c>
      <c r="Y20" s="12" t="str">
        <v>Codex（依据作者裁决）</v>
      </c>
      <c r="Z20" s="12" t="str">
        <v>2026-10-15</v>
      </c>
    </row>
    <row r="21" ht="60" customHeight="1">
      <c r="A21" s="9" t="inlineStr">
        <is>
          <t>必核</t>
        </is>
      </c>
      <c r="B21" s="10" t="n">
        <v>32</v>
      </c>
      <c r="C21" s="10" t="inlineStr">
        <is>
          <t>S033-M2</t>
        </is>
      </c>
      <c r="D21" s="10" t="inlineStr">
        <is>
          <t>完整树评估（S2）</t>
        </is>
      </c>
      <c r="E21" s="10" t="inlineStr">
        <is>
          <t>Ropke and Cordeau, 2009</t>
        </is>
      </c>
      <c r="F21" s="10" t="inlineStr">
        <is>
          <t>传统</t>
        </is>
      </c>
      <c r="G21" s="10" t="inlineStr">
        <is>
          <t>SP2 nonelementary route relaxation</t>
        </is>
      </c>
      <c r="H21" s="10" t="inlineStr">
        <is>
          <t>L4</t>
        </is>
      </c>
      <c r="I21" s="10" t="inlineStr">
        <is>
          <t>L3|L5|L1|L2</t>
        </is>
      </c>
      <c r="J21" s="10" t="inlineStr">
        <is>
          <t>G4</t>
        </is>
      </c>
      <c r="K21" s="10" t="inlineStr">
        <is>
          <t>E2|E4</t>
        </is>
      </c>
      <c r="L21" s="10" t="inlineStr">
        <is>
          <t>02_参考文献/论文全文/S033_Ropke_2009.pdf</t>
        </is>
      </c>
      <c r="M21" s="10" t="inlineStr">
        <is>
          <t>PDF pp. 5, 7, §2.3 and §3.2</t>
        </is>
      </c>
      <c r="N21" s="10" t="inlineStr">
        <is>
          <t>PDF p.5 §2.3; repeated-request route cannot satisfy exact partitioning with a positive integer route variable. LP bound may weaken.</t>
        </is>
      </c>
      <c r="O21" s="10" t="inlineStr"/>
      <c r="P21" s="12" t="inlineStr"/>
      <c r="Q21" s="12" t="inlineStr"/>
      <c r="R21" s="12" t="inlineStr"/>
      <c r="S21" s="12" t="str">
        <v>需改</v>
      </c>
      <c r="T21" s="12" t="inlineStr"/>
      <c r="U21" s="12" t="inlineStr"/>
      <c r="V21" s="12" t="str">
        <v>D050 次层：NONE</v>
      </c>
      <c r="W21" s="12" t="str">
        <v>D050 PDF 5、7、18–19；§2.3；§3.2；§7.2–7.3</v>
      </c>
      <c r="X21" s="12" t="str">
        <v>已确认字段已用于新版稿件。未确定字段保留原值并在稿件标 †。原文核验由 Codex 完成；本次记录作者裁决，不代表独立人工复核。</v>
      </c>
      <c r="Y21" s="12" t="str">
        <v>Codex（依据作者裁决）</v>
      </c>
      <c r="Z21" s="12" t="str">
        <v>2026-10-15</v>
      </c>
    </row>
    <row r="22" ht="60" customHeight="1">
      <c r="A22" s="9" t="inlineStr">
        <is>
          <t>必核</t>
        </is>
      </c>
      <c r="B22" s="10" t="n">
        <v>33</v>
      </c>
      <c r="C22" s="10" t="inlineStr">
        <is>
          <t>S033-M3</t>
        </is>
      </c>
      <c r="D22" s="10" t="inlineStr">
        <is>
          <t>完整树评估（S2）</t>
        </is>
      </c>
      <c r="E22" s="10" t="inlineStr">
        <is>
          <t>Ropke and Cordeau, 2009</t>
        </is>
      </c>
      <c r="F22" s="10" t="inlineStr">
        <is>
          <t>传统</t>
        </is>
      </c>
      <c r="G22" s="10" t="inlineStr">
        <is>
          <t>Heuristic pricing with certification fallback</t>
        </is>
      </c>
      <c r="H22" s="10" t="inlineStr">
        <is>
          <t>L3</t>
        </is>
      </c>
      <c r="I22" s="10" t="inlineStr">
        <is>
          <t>L5|L1|L2</t>
        </is>
      </c>
      <c r="J22" s="10" t="inlineStr">
        <is>
          <t>G2</t>
        </is>
      </c>
      <c r="K22" s="10" t="inlineStr">
        <is>
          <t>E2|E4</t>
        </is>
      </c>
      <c r="L22" s="10" t="inlineStr">
        <is>
          <t>02_参考文献/论文全文/S033_Ropke_2009.pdf</t>
        </is>
      </c>
      <c r="M22" s="10" t="inlineStr">
        <is>
          <t>PDF pp. 12–13, §6.1 and §6.3</t>
        </is>
      </c>
      <c r="N22" s="10" t="inlineStr">
        <is>
          <t>PDF p.12 §6.1; uncertified restricted objective is not used to fathom.</t>
        </is>
      </c>
      <c r="O22" s="10" t="inlineStr"/>
      <c r="P22" s="12" t="inlineStr"/>
      <c r="Q22" s="12" t="inlineStr"/>
      <c r="R22" s="12" t="inlineStr"/>
      <c r="S22" s="12" t="str">
        <v>需改</v>
      </c>
      <c r="T22" s="12" t="inlineStr"/>
      <c r="U22" s="12" t="inlineStr"/>
      <c r="V22" s="12" t="str">
        <v>D051 次层：L5</v>
      </c>
      <c r="W22" s="12" t="str">
        <v>D051 PDF 12–13、19；§6.1；§6.3；Table 8</v>
      </c>
      <c r="X22" s="12" t="str">
        <v>已确认字段已用于新版稿件。未确定字段保留原值并在稿件标 †。原文核验由 Codex 完成；本次记录作者裁决，不代表独立人工复核。</v>
      </c>
      <c r="Y22" s="12" t="str">
        <v>Codex（依据作者裁决）</v>
      </c>
      <c r="Z22" s="12" t="str">
        <v>2026-10-15</v>
      </c>
    </row>
    <row r="23">
      <c r="A23" s="9" t="inlineStr">
        <is>
          <t>必核</t>
        </is>
      </c>
      <c r="B23" s="10" t="n">
        <v>34</v>
      </c>
      <c r="C23" s="10" t="inlineStr">
        <is>
          <t>S034-M1</t>
        </is>
      </c>
      <c r="D23" s="10" t="inlineStr">
        <is>
          <t>完整树评估（S2）</t>
        </is>
      </c>
      <c r="E23" s="10" t="inlineStr">
        <is>
          <t>Silva et al., 2025</t>
        </is>
      </c>
      <c r="F23" s="10" t="inlineStr">
        <is>
          <t>传统</t>
        </is>
      </c>
      <c r="G23" s="10" t="inlineStr">
        <is>
          <t>Main described algorithm</t>
        </is>
      </c>
      <c r="H23" s="10" t="inlineStr">
        <is>
          <t>L1</t>
        </is>
      </c>
      <c r="I23" s="10" t="inlineStr">
        <is>
          <t>NONE</t>
        </is>
      </c>
      <c r="J23" s="10" t="inlineStr">
        <is>
          <t>G1</t>
        </is>
      </c>
      <c r="K23" s="10" t="inlineStr">
        <is>
          <t>E3|E4</t>
        </is>
      </c>
      <c r="L23" s="10" t="inlineStr">
        <is>
          <t>02_参考文献/论文全文/S034_Silva_2025.pdf</t>
        </is>
      </c>
      <c r="M23" s="10" t="inlineStr">
        <is>
          <t>PDFpp3–4, §1 and Table1;pp6–7, §3 || PDFp7, Table3 and experimental paragraphs || PDFpp11–13, §5.1 and Tables4–5 || PDFp14, §5.2 and Table6 || PDFp15, §5.3 and Table7 || PDFp5, §2.1;pp15–16, §5.4 and conclusion</t>
        </is>
      </c>
      <c r="N23" s="10" t="inlineStr">
        <is>
          <t>PDFpp3–4 and7: CB is explicitly noncomplete alone. Evaluated algorithm augments complete edge/CutSet/Ryan-Foster candidates without deleting them; integer disjunctions remain valid, and arc branching is required where edge integrality is insufficient. Robust aggregate edge branches preserve pricing structure. Guarantee attaches to the combined framework, not CB alone.</t>
        </is>
      </c>
      <c r="O23" s="10" t="inlineStr"/>
      <c r="P23" s="12" t="inlineStr"/>
      <c r="Q23" s="12" t="inlineStr"/>
      <c r="R23" s="12" t="inlineStr"/>
      <c r="S23" s="12" t="inlineStr"/>
      <c r="T23" s="12" t="inlineStr"/>
      <c r="U23" s="12" t="inlineStr"/>
      <c r="V23" s="12" t="inlineStr"/>
      <c r="W23" s="12" t="inlineStr"/>
      <c r="X23" s="12" t="inlineStr"/>
      <c r="Y23" s="12" t="inlineStr"/>
      <c r="Z23" s="12" t="inlineStr"/>
    </row>
    <row r="24" ht="60" customHeight="1">
      <c r="A24" s="9" t="inlineStr">
        <is>
          <t>必核</t>
        </is>
      </c>
      <c r="B24" s="10" t="n">
        <v>40</v>
      </c>
      <c r="C24" s="10" t="inlineStr">
        <is>
          <t>S039-M1</t>
        </is>
      </c>
      <c r="D24" s="10" t="inlineStr">
        <is>
          <t>完整树评估（S2）</t>
        </is>
      </c>
      <c r="E24" s="10" t="inlineStr">
        <is>
          <t>Pessoa et al., 2020</t>
        </is>
      </c>
      <c r="F24" s="10" t="inlineStr">
        <is>
          <t>传统</t>
        </is>
      </c>
      <c r="G24" s="10" t="inlineStr">
        <is>
          <t>Generic branch-price-and-cut with modeler-specified packing and elementarity sets</t>
        </is>
      </c>
      <c r="H24" s="10" t="inlineStr">
        <is>
          <t>L1</t>
        </is>
      </c>
      <c r="I24" s="10" t="inlineStr">
        <is>
          <t>L2|L3|L4|L5|L6</t>
        </is>
      </c>
      <c r="J24" s="10" t="inlineStr">
        <is>
          <t>G4</t>
        </is>
      </c>
      <c r="K24" s="10" t="inlineStr">
        <is>
          <t>E2|E4</t>
        </is>
      </c>
      <c r="L24" s="10" t="inlineStr">
        <is>
          <t>02_参考文献/论文全文/S039_Pessoa_2020.pdf</t>
        </is>
      </c>
      <c r="M24" s="10" t="inlineStr">
        <is>
          <t>PDFpp3–14§§2–3,especially§3.1pp8–9,§3.4p12,§3.6pp13–14 || PDFpp12–13§3.5;pp15§4.2;pp25§5.4 || PDFpp20–24§§5.1–5.2;Table1p26 || PDFp24§5.3;Table1p26;pp33–34§6.3 || PDFpp27–29§6 andTable2notes || PDFp28Table2;pp30–31§6.1–6.2 || PDFp35Table4 andpp35–36§6.5 || PDFpp29–30Table3</t>
        </is>
      </c>
      <c r="N24" s="10" t="inlineStr">
        <is>
          <t>PDFpp8–14§3 andpp22–24§5.2: relaxation/cuts require valid modeler-provided sets; heuristic pricing followed by exact pricing(G2). Enumeration requires sufficient dominance condition proved by modeler or must be disabled. Resource branching is not complete by itself; Ryan-Foster fallback required. Optional integer-scaled bound only stated for n2=0 and nonnegative alpha.</t>
        </is>
      </c>
      <c r="O24" s="10" t="inlineStr"/>
      <c r="P24" s="12" t="inlineStr"/>
      <c r="Q24" s="12" t="str">
        <v>无法判断</v>
      </c>
      <c r="R24" s="12" t="str">
        <v>无法判断</v>
      </c>
      <c r="S24" s="12" t="str">
        <v>无法判断</v>
      </c>
      <c r="T24" s="12" t="inlineStr"/>
      <c r="U24" s="12" t="inlineStr"/>
      <c r="V24" s="12" t="str">
        <v>D083 变体描述；主层；次层：未确定。原值只作历史记录，暂不覆盖源文件。</v>
      </c>
      <c r="W24" s="12" t="str">
        <v>D083 PDF 8–13, 22–25, 28–36；§§3.1–3.6; §§5.1–5.5; §6</v>
      </c>
      <c r="X24" s="12" t="str">
        <v>已确认字段已用于新版稿件。未确定字段保留原值并在稿件标 †。原文核验由 Codex 完成；本次记录作者裁决，不代表独立人工复核。</v>
      </c>
      <c r="Y24" s="12" t="str">
        <v>Codex（依据作者裁决）</v>
      </c>
      <c r="Z24" s="12" t="str">
        <v>2026-10-15</v>
      </c>
    </row>
    <row r="25" ht="60" customHeight="1">
      <c r="A25" s="9" t="inlineStr">
        <is>
          <t>必核</t>
        </is>
      </c>
      <c r="B25" s="10" t="n">
        <v>47</v>
      </c>
      <c r="C25" s="10" t="inlineStr">
        <is>
          <t>S046-M1</t>
        </is>
      </c>
      <c r="D25" s="10" t="inlineStr">
        <is>
          <t>完整树评估（S2）</t>
        </is>
      </c>
      <c r="E25" s="10" t="inlineStr">
        <is>
          <t>Gualandi and Malucelli, 2012</t>
        </is>
      </c>
      <c r="F25" s="10" t="inlineStr">
        <is>
          <t>传统</t>
        </is>
      </c>
      <c r="G25" s="10" t="inlineStr">
        <is>
          <t>Main described algorithm</t>
        </is>
      </c>
      <c r="H25" s="10" t="inlineStr">
        <is>
          <t>L3</t>
        </is>
      </c>
      <c r="I25" s="10" t="inlineStr">
        <is>
          <t>L5|L4|L1|L6</t>
        </is>
      </c>
      <c r="J25" s="10" t="inlineStr">
        <is>
          <t>G2</t>
        </is>
      </c>
      <c r="K25" s="10" t="inlineStr">
        <is>
          <t>E2|E3|E4</t>
        </is>
      </c>
      <c r="L25" s="10" t="inlineStr">
        <is>
          <t>02_参考文献/论文全文/S046_Gualandi_2012.pdf</t>
        </is>
      </c>
      <c r="M25" s="10" t="inlineStr">
        <is>
          <t>PDFpp6–8,§4.2.2,Eq21–24,Algorithm1 || PDFpp11–12,§5.3.1 andTable4; visually checked || PDFpp13–15,§5.4 andTable6;Table6 visually checked || PDFpp15–19,§6.2–6.3,Tables7–9</t>
        </is>
      </c>
      <c r="N25" s="10" t="inlineStr">
        <is>
          <t>PDFpp4,6–8,Eq21 and Algorithm1: failed target triggers threshold0 search or exact optimization. Nonexistence must be established for all negative columns; alternatively, stop at equal ceilings of RMP and certified coloring lower bound. The scaling bound z_RMP/(1-c*) is specific to unit-column-cost coloring and requires exact pricing or adequate valid bound. Full B&amp;P uses complete Zykov/Ryan-Foster-style partitions and increasing-depth search.</t>
        </is>
      </c>
      <c r="O25" s="10" t="inlineStr"/>
      <c r="P25" s="12" t="inlineStr"/>
      <c r="Q25" s="12" t="str">
        <v>无法判断</v>
      </c>
      <c r="R25" s="12" t="inlineStr"/>
      <c r="S25" s="12" t="str">
        <v>无法判断</v>
      </c>
      <c r="T25" s="12" t="inlineStr"/>
      <c r="U25" s="12" t="inlineStr"/>
      <c r="V25" s="12" t="str">
        <v>D084 变体描述；次层：未确定。原值只作历史记录，暂不覆盖源文件。</v>
      </c>
      <c r="W25" s="12" t="str">
        <v>D084 PDF 6–8, 11, 13–15；§4.2.2; Algorithm 1; §5.3.1; §5.4; Table 6</v>
      </c>
      <c r="X25" s="12" t="str">
        <v>已确认字段已用于新版稿件。未确定字段保留原值并在稿件标 †。原文核验由 Codex 完成；本次记录作者裁决，不代表独立人工复核。</v>
      </c>
      <c r="Y25" s="12" t="str">
        <v>Codex（依据作者裁决）</v>
      </c>
      <c r="Z25" s="12" t="str">
        <v>2026-10-15</v>
      </c>
    </row>
    <row r="26" ht="60" customHeight="1">
      <c r="A26" s="9" t="inlineStr">
        <is>
          <t>必核</t>
        </is>
      </c>
      <c r="B26" s="10" t="n">
        <v>48</v>
      </c>
      <c r="C26" s="10" t="inlineStr">
        <is>
          <t>S046-M2</t>
        </is>
      </c>
      <c r="D26" s="10" t="inlineStr">
        <is>
          <t>完整树评估（S2）</t>
        </is>
      </c>
      <c r="E26" s="10" t="inlineStr">
        <is>
          <t>Gualandi and Malucelli, 2012</t>
        </is>
      </c>
      <c r="F26" s="10" t="inlineStr">
        <is>
          <t>传统</t>
        </is>
      </c>
      <c r="G26" s="10" t="inlineStr">
        <is>
          <t>augmented pricing as primal heuristic</t>
        </is>
      </c>
      <c r="H26" s="10" t="inlineStr">
        <is>
          <t>L5</t>
        </is>
      </c>
      <c r="I26" s="10" t="inlineStr">
        <is>
          <t>L6</t>
        </is>
      </c>
      <c r="J26" s="10" t="inlineStr">
        <is>
          <t>G5</t>
        </is>
      </c>
      <c r="K26" s="10" t="inlineStr">
        <is>
          <t>E2|E3|E4</t>
        </is>
      </c>
      <c r="L26" s="10" t="inlineStr">
        <is>
          <t>02_参考文献/论文全文/S046_Gualandi_2012.pdf</t>
        </is>
      </c>
      <c r="M26" s="10" t="inlineStr">
        <is>
          <t>PDFpp8–9,§4.3 andAlgorithm2;pp12–14,§5.3.2 andTable5</t>
        </is>
      </c>
      <c r="N26" s="10" t="inlineStr">
        <is>
          <t>PDFpp8–9 Algorithm2: generates feasible coloring from a fixed regular column; failure merely disables/reduces augmented calls while certified regular pricing continues. No standalone global optimality guarantee from restricted integer pool.</t>
        </is>
      </c>
      <c r="O26" s="10" t="inlineStr"/>
      <c r="P26" s="12" t="inlineStr"/>
      <c r="Q26" s="12" t="inlineStr"/>
      <c r="R26" s="12" t="inlineStr"/>
      <c r="S26" s="12" t="str">
        <v>需改</v>
      </c>
      <c r="T26" s="12" t="inlineStr"/>
      <c r="U26" s="12" t="inlineStr"/>
      <c r="V26" s="12" t="str">
        <v>D058 次层：NONE</v>
      </c>
      <c r="W26" s="12" t="str">
        <v>D058 PDF 8–9, 12–15；§4.3; Algorithm 2; Fig. 1; §5.3.2; §5.4</v>
      </c>
      <c r="X26" s="12" t="str">
        <v>已确认字段已用于新版稿件。未确定字段保留原值并在稿件标 †。原文核验由 Codex 完成；本次记录作者裁决，不代表独立人工复核。</v>
      </c>
      <c r="Y26" s="12" t="str">
        <v>Codex（依据作者裁决）</v>
      </c>
      <c r="Z26" s="12" t="str">
        <v>2026-10-15</v>
      </c>
    </row>
    <row r="27">
      <c r="A27" s="9" t="inlineStr">
        <is>
          <t>必核</t>
        </is>
      </c>
      <c r="B27" s="10" t="n">
        <v>49</v>
      </c>
      <c r="C27" s="10" t="inlineStr">
        <is>
          <t>S046-M3</t>
        </is>
      </c>
      <c r="D27" s="10" t="inlineStr">
        <is>
          <t>完整树评估（S2）</t>
        </is>
      </c>
      <c r="E27" s="10" t="inlineStr">
        <is>
          <t>Gualandi and Malucelli, 2012</t>
        </is>
      </c>
      <c r="F27" s="10" t="inlineStr">
        <is>
          <t>传统</t>
        </is>
      </c>
      <c r="G27" s="10" t="inlineStr">
        <is>
          <t>shuffled static order</t>
        </is>
      </c>
      <c r="H27" s="10" t="inlineStr">
        <is>
          <t>L5</t>
        </is>
      </c>
      <c r="I27" s="10" t="inlineStr">
        <is>
          <t>NONE</t>
        </is>
      </c>
      <c r="J27" s="10" t="inlineStr">
        <is>
          <t>G1</t>
        </is>
      </c>
      <c r="K27" s="10" t="inlineStr">
        <is>
          <t>E2|E3|E4</t>
        </is>
      </c>
      <c r="L27" s="10" t="inlineStr">
        <is>
          <t>02_参考文献/论文全文/S046_Gualandi_2012.pdf</t>
        </is>
      </c>
      <c r="M27" s="10" t="inlineStr">
        <is>
          <t>PDFpp5–6,§4.1 and§4.2.1</t>
        </is>
      </c>
      <c r="N27" s="10" t="inlineStr">
        <is>
          <t>PDFp6: static random permutation changes ties while preserving CP search completeness; separate limited-discrepancy truncation is not used for this rule.</t>
        </is>
      </c>
      <c r="O27" s="10" t="inlineStr"/>
      <c r="P27" s="12" t="inlineStr"/>
      <c r="Q27" s="12" t="inlineStr"/>
      <c r="R27" s="12" t="inlineStr"/>
      <c r="S27" s="12" t="inlineStr"/>
      <c r="T27" s="12" t="inlineStr"/>
      <c r="U27" s="12" t="inlineStr"/>
      <c r="V27" s="12" t="inlineStr"/>
      <c r="W27" s="12" t="inlineStr"/>
      <c r="X27" s="12" t="inlineStr"/>
      <c r="Y27" s="12" t="inlineStr"/>
      <c r="Z27" s="12" t="inlineStr"/>
    </row>
    <row r="28" ht="62" customHeight="1">
      <c r="A28" s="9" t="inlineStr">
        <is>
          <t>必核</t>
        </is>
      </c>
      <c r="B28" s="10" t="n">
        <v>52</v>
      </c>
      <c r="C28" s="10" t="inlineStr">
        <is>
          <t>S048-M1</t>
        </is>
      </c>
      <c r="D28" s="10" t="inlineStr">
        <is>
          <t>完整树评估（S2）；Table 4 引用的研究</t>
        </is>
      </c>
      <c r="E28" s="10" t="inlineStr">
        <is>
          <t>Václavík et al., 2018</t>
        </is>
      </c>
      <c r="F28" s="10" t="inlineStr">
        <is>
          <t>学习引导</t>
        </is>
      </c>
      <c r="G28" s="10" t="inlineStr">
        <is>
          <t>Online asymmetric regression pricing cutoff with exact backup</t>
        </is>
      </c>
      <c r="H28" s="10" t="inlineStr">
        <is>
          <t>L4</t>
        </is>
      </c>
      <c r="I28" s="10" t="inlineStr">
        <is>
          <t>L5</t>
        </is>
      </c>
      <c r="J28" s="10" t="inlineStr">
        <is>
          <t>G2</t>
        </is>
      </c>
      <c r="K28" s="10" t="inlineStr">
        <is>
          <t>E0|E4</t>
        </is>
      </c>
      <c r="L28" s="10" t="inlineStr">
        <is>
          <t>02_参考文献/论文全文/S048_Vaclavik_2018.pdf</t>
        </is>
      </c>
      <c r="M28" s="10" t="inlineStr">
        <is>
          <t>PDF pp12–18 §3.1–3.3 Algorithm2 || PDF pp18–19 §3.4; p33 §6.1 || PDF pp33–36 Tables1,3,4 || PDF pp34,38–40 Tables2,6–8 || PDF pp37–41 Tables5,8,9</t>
        </is>
      </c>
      <c r="N28" s="10" t="inlineStr">
        <is>
          <t>p17Algorithm2:infeasiblepredictedcutoff doesnotcertifyno-negativecolumn;restoredefaultbounds beforebranching/fathoming. Canreusecutoffasprovenlowerboundonlyafterfirstrestrictedproblemprovedinfeasible. Earlybranchingadditionalimprovementp27 lacksfullvalid-bounddetails.</t>
        </is>
      </c>
      <c r="O28" s="10" t="inlineStr"/>
      <c r="P28" s="12" t="inlineStr"/>
      <c r="Q28" s="12" t="inlineStr"/>
      <c r="R28" s="12" t="inlineStr"/>
      <c r="S28" s="12" t="str">
        <v>需改</v>
      </c>
      <c r="T28" s="12" t="inlineStr"/>
      <c r="U28" s="12" t="str">
        <v>无法判断</v>
      </c>
      <c r="V28" s="12" t="str">
        <v>D059 次层：NONE
D107 证据范围：未确定。原值只作历史记录，暂不覆盖源文件。</v>
      </c>
      <c r="W28" s="12" t="str">
        <v>D059 PDF 12–19, 26, 32, 35–41；§3; Algorithm 2; §4.3; §5.3; Tables 3–9
D107 PDF 12–19, 26, 32, 35–41；§3; Algorithm 2; §4.3; §5.3; Tables 3–9</v>
      </c>
      <c r="X28" s="12" t="str">
        <v>已确认字段已用于新版稿件。未确定字段保留原值并在稿件标 †。原文核验由 Codex 完成；本次记录作者裁决，不代表独立人工复核。</v>
      </c>
      <c r="Y28" s="12" t="str">
        <v>Codex（依据作者裁决）</v>
      </c>
      <c r="Z28" s="12" t="str">
        <v>2026-10-15</v>
      </c>
    </row>
    <row r="29">
      <c r="A29" s="9" t="inlineStr">
        <is>
          <t>必核</t>
        </is>
      </c>
      <c r="B29" s="10" t="n">
        <v>53</v>
      </c>
      <c r="C29" s="10" t="inlineStr">
        <is>
          <t>S049-M1</t>
        </is>
      </c>
      <c r="D29" s="10" t="inlineStr">
        <is>
          <t>完整树评估（S2）</t>
        </is>
      </c>
      <c r="E29" s="10" t="inlineStr">
        <is>
          <t>Furian et al., 2021</t>
        </is>
      </c>
      <c r="F29" s="10" t="inlineStr">
        <is>
          <t>学习引导</t>
        </is>
      </c>
      <c r="G29" s="10" t="inlineStr">
        <is>
          <t>PB plus predicted open-node priority</t>
        </is>
      </c>
      <c r="H29" s="10" t="inlineStr">
        <is>
          <t>L1</t>
        </is>
      </c>
      <c r="I29" s="10" t="inlineStr">
        <is>
          <t>NONE</t>
        </is>
      </c>
      <c r="J29" s="10" t="inlineStr">
        <is>
          <t>G1</t>
        </is>
      </c>
      <c r="K29" s="10" t="inlineStr">
        <is>
          <t>E0|E4</t>
        </is>
      </c>
      <c r="L29" s="10" t="inlineStr">
        <is>
          <t>02_参考文献/论文全文/S049_Furian_2021.pdf</t>
        </is>
      </c>
      <c r="M29" s="10" t="inlineStr">
        <is>
          <t>PDF pp12–14 §4.2–4.5; pp20–22 §7 Eq15 and Algorithm2 || PDF pp22–25 §8.1–8.3; pp26–27 Table2 || PDF pp28–31 §8.3.1 Table3 || PDF pp31–33 Tables3–4; p29 discussion || PDF pp34–36 Tables5–6 and §9</t>
        </is>
      </c>
      <c r="N29" s="10" t="inlineStr">
        <is>
          <t>Open-node priority changes only; Eq15 retains both preferred and nonpreferred sets. Branch partition and ordinary infeasibility/integrality/bound fathoming pp12,20–22; exactness subject to baseline relaxed-pricing/branching implementation and limits. G4 refers to 2-cycle/ng LP relaxation, not elementary LP equivalence.</t>
        </is>
      </c>
      <c r="O29" s="10" t="inlineStr"/>
      <c r="P29" s="12" t="inlineStr"/>
      <c r="Q29" s="12" t="inlineStr"/>
      <c r="R29" s="12" t="inlineStr"/>
      <c r="S29" s="12" t="inlineStr"/>
      <c r="T29" s="12" t="inlineStr"/>
      <c r="U29" s="12" t="inlineStr"/>
      <c r="V29" s="12" t="inlineStr"/>
      <c r="W29" s="12" t="inlineStr"/>
      <c r="X29" s="12" t="inlineStr"/>
      <c r="Y29" s="12" t="inlineStr"/>
      <c r="Z29" s="12" t="inlineStr"/>
    </row>
    <row r="30">
      <c r="A30" s="9" t="inlineStr">
        <is>
          <t>必核</t>
        </is>
      </c>
      <c r="B30" s="10" t="n">
        <v>54</v>
      </c>
      <c r="C30" s="10" t="inlineStr">
        <is>
          <t>S049-M2</t>
        </is>
      </c>
      <c r="D30" s="10" t="inlineStr">
        <is>
          <t>只有研究族级证据，需补本变体页码；完整树评估（S2）</t>
        </is>
      </c>
      <c r="E30" s="10" t="inlineStr">
        <is>
          <t>Furian et al., 2021</t>
        </is>
      </c>
      <c r="F30" s="10" t="inlineStr">
        <is>
          <t>学习引导</t>
        </is>
      </c>
      <c r="G30" s="10" t="inlineStr">
        <is>
          <t>Reliability Prediction Branching RPB plus predicted open-node priority</t>
        </is>
      </c>
      <c r="H30" s="10" t="inlineStr">
        <is>
          <t>L1</t>
        </is>
      </c>
      <c r="I30" s="10" t="inlineStr">
        <is>
          <t>NONE</t>
        </is>
      </c>
      <c r="J30" s="10" t="inlineStr">
        <is>
          <t>G1</t>
        </is>
      </c>
      <c r="K30" s="10" t="inlineStr">
        <is>
          <t>E0|E4</t>
        </is>
      </c>
      <c r="L30" s="10" t="inlineStr">
        <is>
          <t>02_参考文献/论文全文/S049_Furian_2021.pdf</t>
        </is>
      </c>
      <c r="M30" s="10" t="inlineStr"/>
      <c r="N30" s="10" t="inlineStr">
        <is>
          <t>Open-node priority changes only; Eq15 retains both preferred and nonpreferred sets. Branch partition and ordinary infeasibility/integrality/bound fathoming pp12,20–22; exactness subject to baseline relaxed-pricing/branching implementation and limits. G4 refers to 2-cycle/ng LP relaxation, not elementary LP equivalence.</t>
        </is>
      </c>
      <c r="O30" s="10" t="inlineStr">
        <is>
          <t>No direct method_id join; family evidence and method description require variant-specific allocation.</t>
        </is>
      </c>
      <c r="P30" s="12" t="inlineStr"/>
      <c r="Q30" s="12" t="inlineStr"/>
      <c r="R30" s="12" t="inlineStr"/>
      <c r="S30" s="12" t="inlineStr"/>
      <c r="T30" s="12" t="inlineStr"/>
      <c r="U30" s="12" t="inlineStr"/>
      <c r="V30" s="12" t="inlineStr"/>
      <c r="W30" s="12" t="inlineStr"/>
      <c r="X30" s="12" t="inlineStr"/>
      <c r="Y30" s="12" t="inlineStr"/>
      <c r="Z30" s="12" t="inlineStr"/>
    </row>
    <row r="31" ht="62" customHeight="1">
      <c r="A31" s="9" t="inlineStr">
        <is>
          <t>必核</t>
        </is>
      </c>
      <c r="B31" s="10" t="n">
        <v>56</v>
      </c>
      <c r="C31" s="10" t="inlineStr">
        <is>
          <t>S050-M2</t>
        </is>
      </c>
      <c r="D31" s="10" t="inlineStr">
        <is>
          <t>只有研究族级证据，需补本变体页码</t>
        </is>
      </c>
      <c r="E31" s="10" t="inlineStr">
        <is>
          <t>Morabit et al., 2021</t>
        </is>
      </c>
      <c r="F31" s="10" t="inlineStr">
        <is>
          <t>学习引导</t>
        </is>
      </c>
      <c r="G31" s="10" t="inlineStr">
        <is>
          <t>GNN-S VRPTW</t>
        </is>
      </c>
      <c r="H31" s="10" t="inlineStr">
        <is>
          <t>L6</t>
        </is>
      </c>
      <c r="I31" s="10" t="inlineStr">
        <is>
          <t>L2</t>
        </is>
      </c>
      <c r="J31" s="10" t="inlineStr">
        <is>
          <t>G2</t>
        </is>
      </c>
      <c r="K31" s="10" t="inlineStr">
        <is>
          <t>E0|E2</t>
        </is>
      </c>
      <c r="L31" s="10" t="inlineStr">
        <is>
          <t>02_参考文献/论文全文/S050_Morabit_2021.pdf</t>
        </is>
      </c>
      <c r="M31" s="10" t="inlineStr"/>
      <c r="N31" s="10" t="inlineStr">
        <is>
          <t>PDFp5 explicitly calls exact pricing when heuristic finds no negative column and permits regeneration of removed columns. Empty learned selection/progress fallback not explicit. VRPTW certificate applies to two-cycle relaxed MP.</t>
        </is>
      </c>
      <c r="O31" s="10" t="inlineStr">
        <is>
          <t>No direct method_id join; family evidence and method description require variant-specific allocation.</t>
        </is>
      </c>
      <c r="P31" s="12" t="inlineStr"/>
      <c r="Q31" s="12" t="inlineStr"/>
      <c r="R31" s="12" t="inlineStr"/>
      <c r="S31" s="12" t="str">
        <v>需改</v>
      </c>
      <c r="T31" s="12" t="str">
        <v>无法判断</v>
      </c>
      <c r="U31" s="12" t="inlineStr"/>
      <c r="V31" s="12" t="str">
        <v>D061 次层：NONE
D095 主机制：未确定。原值只作历史记录，暂不覆盖源文件。</v>
      </c>
      <c r="W31" s="12" t="str">
        <v>D061 PDF 4–5, 9–12, 14–16；§2; §4.4; §§5.1–5.4
D095 PDF 4–5, 9–12, 14–16；§2; §4.4; §§5.1–5.4</v>
      </c>
      <c r="X31" s="12" t="str">
        <v>已确认字段已用于新版稿件。未确定字段保留原值并在稿件标 †。原文核验由 Codex 完成；本次记录作者裁决，不代表独立人工复核。</v>
      </c>
      <c r="Y31" s="12" t="str">
        <v>Codex（依据作者裁决）</v>
      </c>
      <c r="Z31" s="12" t="str">
        <v>2026-10-15</v>
      </c>
    </row>
    <row r="32">
      <c r="A32" s="9" t="inlineStr">
        <is>
          <t>必核</t>
        </is>
      </c>
      <c r="B32" s="10" t="n">
        <v>57</v>
      </c>
      <c r="C32" s="10" t="inlineStr">
        <is>
          <t>S050-M3</t>
        </is>
      </c>
      <c r="D32" s="10" t="inlineStr">
        <is>
          <t>只有研究族级证据，需补本变体页码</t>
        </is>
      </c>
      <c r="E32" s="10" t="inlineStr">
        <is>
          <t>Morabit et al., 2021</t>
        </is>
      </c>
      <c r="F32" s="10" t="inlineStr">
        <is>
          <t>学习引导</t>
        </is>
      </c>
      <c r="G32" s="10" t="inlineStr">
        <is>
          <t>Stab-GNN-S VCSP</t>
        </is>
      </c>
      <c r="H32" s="10" t="inlineStr">
        <is>
          <t>L6</t>
        </is>
      </c>
      <c r="I32" s="10" t="inlineStr">
        <is>
          <t>L2</t>
        </is>
      </c>
      <c r="J32" s="10" t="inlineStr">
        <is>
          <t>GU</t>
        </is>
      </c>
      <c r="K32" s="10" t="inlineStr">
        <is>
          <t>E2</t>
        </is>
      </c>
      <c r="L32" s="10" t="inlineStr">
        <is>
          <t>02_参考文献/论文全文/S050_Morabit_2021.pdf</t>
        </is>
      </c>
      <c r="M32" s="10" t="inlineStr"/>
      <c r="N32" s="10" t="inlineStr">
        <is>
          <t>PDFp5 explicitly calls exact pricing when heuristic finds no negative column and permits regeneration of removed columns. Empty learned selection/progress fallback not explicit. VRPTW certificate applies to two-cycle relaxed MP.</t>
        </is>
      </c>
      <c r="O32" s="10" t="inlineStr">
        <is>
          <t>No direct method_id join; family evidence and method description require variant-specific allocation.</t>
        </is>
      </c>
      <c r="P32" s="12" t="inlineStr"/>
      <c r="Q32" s="12" t="inlineStr"/>
      <c r="R32" s="12" t="inlineStr"/>
      <c r="S32" s="12" t="inlineStr"/>
      <c r="T32" s="12" t="inlineStr"/>
      <c r="U32" s="12" t="inlineStr"/>
      <c r="V32" s="12" t="inlineStr"/>
      <c r="W32" s="12" t="inlineStr"/>
      <c r="X32" s="12" t="inlineStr"/>
      <c r="Y32" s="12" t="inlineStr"/>
      <c r="Z32" s="12" t="inlineStr"/>
    </row>
    <row r="33" ht="60" customHeight="1">
      <c r="A33" s="9" t="inlineStr">
        <is>
          <t>必核</t>
        </is>
      </c>
      <c r="B33" s="10" t="n">
        <v>60</v>
      </c>
      <c r="C33" s="10" t="inlineStr">
        <is>
          <t>S051-M3</t>
        </is>
      </c>
      <c r="D33" s="10" t="inlineStr">
        <is>
          <t>只有研究族级证据，需补本变体页码</t>
        </is>
      </c>
      <c r="E33" s="10" t="inlineStr">
        <is>
          <t>Quesnel et al., 2022</t>
        </is>
      </c>
      <c r="F33" s="10" t="inlineStr">
        <is>
          <t>学习引导</t>
        </is>
      </c>
      <c r="G33" s="10" t="inlineStr">
        <is>
          <t>MPP with maximum fraction below 1</t>
        </is>
      </c>
      <c r="H33" s="10" t="inlineStr">
        <is>
          <t>L4</t>
        </is>
      </c>
      <c r="I33" s="10" t="inlineStr">
        <is>
          <t>L3|L1</t>
        </is>
      </c>
      <c r="J33" s="10" t="inlineStr">
        <is>
          <t>G5</t>
        </is>
      </c>
      <c r="K33" s="10" t="inlineStr">
        <is>
          <t>E0|E2|E3</t>
        </is>
      </c>
      <c r="L33" s="10" t="inlineStr">
        <is>
          <t>02_参考文献/论文全文/S051_Quesnel_2022.pdf</t>
        </is>
      </c>
      <c r="M33" s="10" t="inlineStr"/>
      <c r="N33" s="10" t="inlineStr">
        <is>
          <t>Main AlgML has no all-pairing restoration. MPP {0.5,1}/{0.1,0.55,1} checks all crew SPs on all pairings before CG termination, small instances only. All variants retain heuristic no-backtracking branching.</t>
        </is>
      </c>
      <c r="O33" s="10" t="inlineStr">
        <is>
          <t>No direct method_id join; family evidence and method description require variant-specific allocation.</t>
        </is>
      </c>
      <c r="P33" s="12" t="inlineStr"/>
      <c r="Q33" s="12" t="inlineStr"/>
      <c r="R33" s="12" t="inlineStr"/>
      <c r="S33" s="12" t="str">
        <v>需改</v>
      </c>
      <c r="T33" s="12" t="inlineStr"/>
      <c r="U33" s="12" t="inlineStr"/>
      <c r="V33" s="12" t="str">
        <v>D064 次层：L3</v>
      </c>
      <c r="W33" s="12" t="str">
        <v>D064 PDF 4, 6, 12–13；§3.4; §5.3.3; Table 11</v>
      </c>
      <c r="X33" s="12" t="str">
        <v>已确认字段已用于新版稿件。未确定字段保留原值并在稿件标 †。原文核验由 Codex 完成；本次记录作者裁决，不代表独立人工复核。</v>
      </c>
      <c r="Y33" s="12" t="str">
        <v>Codex（依据作者裁决）</v>
      </c>
      <c r="Z33" s="12" t="str">
        <v>2026-10-15</v>
      </c>
    </row>
    <row r="34">
      <c r="A34" s="9" t="inlineStr">
        <is>
          <t>必核</t>
        </is>
      </c>
      <c r="B34" s="10" t="n">
        <v>62</v>
      </c>
      <c r="C34" s="10" t="inlineStr">
        <is>
          <t>S052-M2</t>
        </is>
      </c>
      <c r="D34" s="10" t="inlineStr">
        <is>
          <t>完整树评估（S2）</t>
        </is>
      </c>
      <c r="E34" s="10" t="inlineStr">
        <is>
          <t>Zhang et al., 2022</t>
        </is>
      </c>
      <c r="F34" s="10" t="inlineStr">
        <is>
          <t>学习引导</t>
        </is>
      </c>
      <c r="G34" s="10" t="inlineStr">
        <is>
          <t>B&amp;P-ED</t>
        </is>
      </c>
      <c r="H34" s="10" t="inlineStr">
        <is>
          <t>L6</t>
        </is>
      </c>
      <c r="I34" s="10" t="inlineStr">
        <is>
          <t>L4</t>
        </is>
      </c>
      <c r="J34" s="10" t="inlineStr">
        <is>
          <t>G2</t>
        </is>
      </c>
      <c r="K34" s="10" t="inlineStr">
        <is>
          <t>E4</t>
        </is>
      </c>
      <c r="L34" s="10" t="inlineStr">
        <is>
          <t>02_参考文献/论文全文/S052_Zhang_2022.pdf</t>
        </is>
      </c>
      <c r="M34" s="10" t="inlineStr">
        <is>
          <t>PDF pp16–17 §5.4 Table6</t>
        </is>
      </c>
      <c r="N34" s="10" t="inlineStr">
        <is>
          <t>PDFpp12–13 Statement2andAlgorithm3checkallpredictednegativesandbasispositives;exactvariantinvokesTheorem1afterapproximatedominancefails. AD neverrestores exactdominance.</t>
        </is>
      </c>
      <c r="O34" s="10" t="inlineStr"/>
      <c r="P34" s="12" t="inlineStr"/>
      <c r="Q34" s="12" t="inlineStr"/>
      <c r="R34" s="12" t="inlineStr"/>
      <c r="S34" s="12" t="inlineStr"/>
      <c r="T34" s="12" t="inlineStr"/>
      <c r="U34" s="12" t="inlineStr"/>
      <c r="V34" s="12" t="inlineStr"/>
      <c r="W34" s="12" t="inlineStr"/>
      <c r="X34" s="12" t="inlineStr"/>
      <c r="Y34" s="12" t="inlineStr"/>
      <c r="Z34" s="12" t="inlineStr"/>
    </row>
    <row r="35">
      <c r="A35" s="9" t="inlineStr">
        <is>
          <t>必核</t>
        </is>
      </c>
      <c r="B35" s="10" t="n">
        <v>63</v>
      </c>
      <c r="C35" s="10" t="inlineStr">
        <is>
          <t>S052-M3</t>
        </is>
      </c>
      <c r="D35" s="10" t="inlineStr">
        <is>
          <t>只有研究族级证据，需补本变体页码；完整树评估（S2）</t>
        </is>
      </c>
      <c r="E35" s="10" t="inlineStr">
        <is>
          <t>Zhang et al., 2022</t>
        </is>
      </c>
      <c r="F35" s="10" t="inlineStr">
        <is>
          <t>学习引导</t>
        </is>
      </c>
      <c r="G35" s="10" t="inlineStr">
        <is>
          <t>B&amp;P-AD</t>
        </is>
      </c>
      <c r="H35" s="10" t="inlineStr">
        <is>
          <t>L6</t>
        </is>
      </c>
      <c r="I35" s="10" t="inlineStr">
        <is>
          <t>L4</t>
        </is>
      </c>
      <c r="J35" s="10" t="inlineStr">
        <is>
          <t>G5</t>
        </is>
      </c>
      <c r="K35" s="10" t="inlineStr">
        <is>
          <t>E4</t>
        </is>
      </c>
      <c r="L35" s="10" t="inlineStr">
        <is>
          <t>02_参考文献/论文全文/S052_Zhang_2022.pdf</t>
        </is>
      </c>
      <c r="M35" s="10" t="inlineStr"/>
      <c r="N35" s="10" t="inlineStr">
        <is>
          <t>PDFpp12–13 Statement2andAlgorithm3checkallpredictednegativesandbasispositives;exactvariantinvokesTheorem1afterapproximatedominancefails. AD neverrestores exactdominance.</t>
        </is>
      </c>
      <c r="O35" s="10" t="inlineStr">
        <is>
          <t>No direct method_id join; family evidence and method description require variant-specific allocation.</t>
        </is>
      </c>
      <c r="P35" s="12" t="inlineStr"/>
      <c r="Q35" s="12" t="inlineStr"/>
      <c r="R35" s="12" t="inlineStr"/>
      <c r="S35" s="12" t="inlineStr"/>
      <c r="T35" s="12" t="inlineStr"/>
      <c r="U35" s="12" t="inlineStr"/>
      <c r="V35" s="12" t="inlineStr"/>
      <c r="W35" s="12" t="inlineStr"/>
      <c r="X35" s="12" t="inlineStr"/>
      <c r="Y35" s="12" t="inlineStr"/>
      <c r="Z35" s="12" t="inlineStr"/>
    </row>
    <row r="36" ht="60" customHeight="1">
      <c r="A36" s="9" t="inlineStr">
        <is>
          <t>必核</t>
        </is>
      </c>
      <c r="B36" s="10" t="n">
        <v>66</v>
      </c>
      <c r="C36" s="10" t="inlineStr">
        <is>
          <t>S055-M1</t>
        </is>
      </c>
      <c r="D36" s="10" t="inlineStr">
        <is>
          <t>Table 4 引用的研究</t>
        </is>
      </c>
      <c r="E36" s="10" t="inlineStr">
        <is>
          <t>Morabit et al., 2023</t>
        </is>
      </c>
      <c r="F36" s="10" t="inlineStr">
        <is>
          <t>学习引导</t>
        </is>
      </c>
      <c r="G36" s="10" t="inlineStr">
        <is>
          <t>VCSP ML-S</t>
        </is>
      </c>
      <c r="H36" s="10" t="inlineStr">
        <is>
          <t>L4</t>
        </is>
      </c>
      <c r="I36" s="10" t="inlineStr">
        <is>
          <t>L3|L6</t>
        </is>
      </c>
      <c r="J36" s="10" t="inlineStr">
        <is>
          <t>G2</t>
        </is>
      </c>
      <c r="K36" s="10" t="inlineStr">
        <is>
          <t>E0|E2</t>
        </is>
      </c>
      <c r="L36" s="10" t="inlineStr">
        <is>
          <t>02_参考文献/论文全文/S055_Morabit_2023.pdf</t>
        </is>
      </c>
      <c r="M36" s="10" t="inlineStr">
        <is>
          <t>PDF pp6–9 §§3.1–3.4 Algorithms1–2; p17 §5.4.2 || PDF pp7–8 §3.2–3.3; pp10–12 §4.2–4.4.1 Tables1–2; p16 §5.4.1 Tables5–6 || PDF pp12–13 §4.4.2 Table3 || PDF pp14–15 §4.4.3 Table4 || PDF p14 §5;p16 §5.3;pp17–18 §5.4.2 Table7 || PDF pp19–20 §5.4.2 Table8</t>
        </is>
      </c>
      <c r="N36" s="10" t="inlineStr">
        <is>
          <t>Algorithm2 requires no negativecolumns on completegraph beforetermination;VCSPeta_min30/eta_max100;VRPTWpermanently disablesreducedgraph afterzerocolumn return</t>
        </is>
      </c>
      <c r="O36" s="10" t="inlineStr"/>
      <c r="P36" s="12" t="inlineStr"/>
      <c r="Q36" s="12" t="inlineStr"/>
      <c r="R36" s="12" t="inlineStr"/>
      <c r="S36" s="12" t="str">
        <v>需改</v>
      </c>
      <c r="T36" s="12" t="inlineStr"/>
      <c r="U36" s="12" t="inlineStr"/>
      <c r="V36" s="12" t="str">
        <v>D066 次层：L3</v>
      </c>
      <c r="W36" s="12" t="str">
        <v>D066 PDF 6–9, 11–12, 14, 16–18；§3; Algorithm 2; §4.4; §§5–5.4</v>
      </c>
      <c r="X36" s="12" t="str">
        <v>已确认字段已用于新版稿件。未确定字段保留原值并在稿件标 †。原文核验由 Codex 完成；本次记录作者裁决，不代表独立人工复核。</v>
      </c>
      <c r="Y36" s="12" t="str">
        <v>Codex（依据作者裁决）</v>
      </c>
      <c r="Z36" s="12" t="str">
        <v>2026-10-15</v>
      </c>
    </row>
    <row r="37" ht="60" customHeight="1">
      <c r="A37" s="9" t="inlineStr">
        <is>
          <t>必核</t>
        </is>
      </c>
      <c r="B37" s="10" t="n">
        <v>67</v>
      </c>
      <c r="C37" s="10" t="inlineStr">
        <is>
          <t>S055-M2</t>
        </is>
      </c>
      <c r="D37" s="10" t="inlineStr">
        <is>
          <t>只有研究族级证据，需补本变体页码；Table 4 引用的研究</t>
        </is>
      </c>
      <c r="E37" s="10" t="inlineStr">
        <is>
          <t>Morabit et al., 2023</t>
        </is>
      </c>
      <c r="F37" s="10" t="inlineStr">
        <is>
          <t>学习引导</t>
        </is>
      </c>
      <c r="G37" s="10" t="inlineStr">
        <is>
          <t>VRPTW ML-S</t>
        </is>
      </c>
      <c r="H37" s="10" t="inlineStr">
        <is>
          <t>L4</t>
        </is>
      </c>
      <c r="I37" s="10" t="inlineStr">
        <is>
          <t>L3|L6</t>
        </is>
      </c>
      <c r="J37" s="10" t="inlineStr">
        <is>
          <t>G2</t>
        </is>
      </c>
      <c r="K37" s="10" t="inlineStr">
        <is>
          <t>E0|E2</t>
        </is>
      </c>
      <c r="L37" s="10" t="inlineStr">
        <is>
          <t>02_参考文献/论文全文/S055_Morabit_2023.pdf</t>
        </is>
      </c>
      <c r="M37" s="10" t="inlineStr"/>
      <c r="N37" s="10" t="inlineStr">
        <is>
          <t>Algorithm2 requires no negativecolumns on completegraph beforetermination;VCSPeta_min30/eta_max100;VRPTWpermanently disablesreducedgraph afterzerocolumn return</t>
        </is>
      </c>
      <c r="O37" s="10" t="inlineStr">
        <is>
          <t>No direct method_id join; family evidence and method description require variant-specific allocation.</t>
        </is>
      </c>
      <c r="P37" s="12" t="inlineStr"/>
      <c r="Q37" s="12" t="inlineStr"/>
      <c r="R37" s="12" t="inlineStr"/>
      <c r="S37" s="12" t="str">
        <v>需改</v>
      </c>
      <c r="T37" s="12" t="inlineStr"/>
      <c r="U37" s="12" t="inlineStr"/>
      <c r="V37" s="12" t="str">
        <v>D067 次层：L3</v>
      </c>
      <c r="W37" s="12" t="str">
        <v>D067 PDF 6–9, 11–12, 14, 16–18；§3; Algorithm 2; §4.4; §§5–5.4</v>
      </c>
      <c r="X37" s="12" t="str">
        <v>已确认字段已用于新版稿件。未确定字段保留原值并在稿件标 †。原文核验由 Codex 完成；本次记录作者裁决，不代表独立人工复核。</v>
      </c>
      <c r="Y37" s="12" t="str">
        <v>Codex（依据作者裁决）</v>
      </c>
      <c r="Z37" s="12" t="str">
        <v>2026-10-15</v>
      </c>
    </row>
    <row r="38">
      <c r="A38" s="9" t="inlineStr">
        <is>
          <t>必核</t>
        </is>
      </c>
      <c r="B38" s="10" t="n">
        <v>68</v>
      </c>
      <c r="C38" s="10" t="inlineStr">
        <is>
          <t>S055-M3</t>
        </is>
      </c>
      <c r="D38" s="10" t="inlineStr">
        <is>
          <t>只有研究族级证据，需补本变体页码；Table 4 引用的研究</t>
        </is>
      </c>
      <c r="E38" s="10" t="inlineStr">
        <is>
          <t>Morabit et al., 2023</t>
        </is>
      </c>
      <c r="F38" s="10" t="inlineStr">
        <is>
          <t>学习引导</t>
        </is>
      </c>
      <c r="G38" s="10" t="inlineStr">
        <is>
          <t>ML-RedCost-S/S-2</t>
        </is>
      </c>
      <c r="H38" s="10" t="inlineStr">
        <is>
          <t>L4</t>
        </is>
      </c>
      <c r="I38" s="10" t="inlineStr">
        <is>
          <t>L3</t>
        </is>
      </c>
      <c r="J38" s="10" t="inlineStr">
        <is>
          <t>G2</t>
        </is>
      </c>
      <c r="K38" s="10" t="inlineStr">
        <is>
          <t>E2</t>
        </is>
      </c>
      <c r="L38" s="10" t="inlineStr">
        <is>
          <t>02_参考文献/论文全文/S055_Morabit_2023.pdf</t>
        </is>
      </c>
      <c r="M38" s="10" t="inlineStr"/>
      <c r="N38" s="10" t="inlineStr">
        <is>
          <t>Algorithm2 requires no negativecolumns on completegraph beforetermination;VCSPeta_min30/eta_max100;VRPTWpermanently disablesreducedgraph afterzerocolumn return</t>
        </is>
      </c>
      <c r="O38" s="10" t="inlineStr">
        <is>
          <t>No direct method_id join; family evidence and method description require variant-specific allocation.</t>
        </is>
      </c>
      <c r="P38" s="12" t="inlineStr"/>
      <c r="Q38" s="12" t="inlineStr"/>
      <c r="R38" s="12" t="inlineStr"/>
      <c r="S38" s="12" t="inlineStr"/>
      <c r="T38" s="12" t="inlineStr"/>
      <c r="U38" s="12" t="inlineStr"/>
      <c r="V38" s="12" t="inlineStr"/>
      <c r="W38" s="12" t="inlineStr"/>
      <c r="X38" s="12" t="inlineStr"/>
      <c r="Y38" s="12" t="inlineStr"/>
      <c r="Z38" s="12" t="inlineStr"/>
    </row>
    <row r="39">
      <c r="A39" s="9" t="inlineStr">
        <is>
          <t>必核</t>
        </is>
      </c>
      <c r="B39" s="10" t="n">
        <v>69</v>
      </c>
      <c r="C39" s="10" t="inlineStr">
        <is>
          <t>S055-M4</t>
        </is>
      </c>
      <c r="D39" s="10" t="inlineStr">
        <is>
          <t>只有研究族级证据，需补本变体页码；Table 4 引用的研究</t>
        </is>
      </c>
      <c r="E39" s="10" t="inlineStr">
        <is>
          <t>Morabit et al., 2023</t>
        </is>
      </c>
      <c r="F39" s="10" t="inlineStr">
        <is>
          <t>学习引导</t>
        </is>
      </c>
      <c r="G39" s="10" t="inlineStr">
        <is>
          <t>VCSP ML-COL-S</t>
        </is>
      </c>
      <c r="H39" s="10" t="inlineStr">
        <is>
          <t>L4</t>
        </is>
      </c>
      <c r="I39" s="10" t="inlineStr">
        <is>
          <t>L6</t>
        </is>
      </c>
      <c r="J39" s="10" t="inlineStr">
        <is>
          <t>G2</t>
        </is>
      </c>
      <c r="K39" s="10" t="inlineStr">
        <is>
          <t>E2</t>
        </is>
      </c>
      <c r="L39" s="10" t="inlineStr">
        <is>
          <t>02_参考文献/论文全文/S055_Morabit_2023.pdf</t>
        </is>
      </c>
      <c r="M39" s="10" t="inlineStr"/>
      <c r="N39" s="10" t="inlineStr">
        <is>
          <t>Algorithm2 requires no negativecolumns on completegraph beforetermination;VCSPeta_min30/eta_max100;VRPTWpermanently disablesreducedgraph afterzerocolumn return</t>
        </is>
      </c>
      <c r="O39" s="10" t="inlineStr">
        <is>
          <t>No direct method_id join; family evidence and method description require variant-specific allocation.</t>
        </is>
      </c>
      <c r="P39" s="12" t="inlineStr"/>
      <c r="Q39" s="12" t="inlineStr"/>
      <c r="R39" s="12" t="inlineStr"/>
      <c r="S39" s="12" t="inlineStr"/>
      <c r="T39" s="12" t="inlineStr"/>
      <c r="U39" s="12" t="inlineStr"/>
      <c r="V39" s="12" t="inlineStr"/>
      <c r="W39" s="12" t="inlineStr"/>
      <c r="X39" s="12" t="inlineStr"/>
      <c r="Y39" s="12" t="inlineStr"/>
      <c r="Z39" s="12" t="inlineStr"/>
    </row>
    <row r="40">
      <c r="A40" s="9" t="inlineStr">
        <is>
          <t>必核</t>
        </is>
      </c>
      <c r="B40" s="10" t="n">
        <v>71</v>
      </c>
      <c r="C40" s="10" t="inlineStr">
        <is>
          <t>S056-M2</t>
        </is>
      </c>
      <c r="D40" s="10" t="inlineStr">
        <is>
          <t>只有研究族级证据，需补本变体页码；Table 4 引用的研究</t>
        </is>
      </c>
      <c r="E40" s="10" t="inlineStr">
        <is>
          <t>Kraul et al., 2023</t>
        </is>
      </c>
      <c r="F40" s="10" t="inlineStr">
        <is>
          <t>学习引导</t>
        </is>
      </c>
      <c r="G40" s="10" t="inlineStr">
        <is>
          <t>SPARSE</t>
        </is>
      </c>
      <c r="H40" s="10" t="inlineStr">
        <is>
          <t>L2</t>
        </is>
      </c>
      <c r="I40" s="10" t="inlineStr">
        <is>
          <t>NONE</t>
        </is>
      </c>
      <c r="J40" s="10" t="inlineStr">
        <is>
          <t>G4</t>
        </is>
      </c>
      <c r="K40" s="10" t="inlineStr">
        <is>
          <t>E0|E2</t>
        </is>
      </c>
      <c r="L40" s="10" t="inlineStr">
        <is>
          <t>02_参考文献/论文全文/S056_Kraul_2023.pdf</t>
        </is>
      </c>
      <c r="M40" s="10" t="inlineStr"/>
      <c r="N40" s="10" t="inlineStr">
        <is>
          <t>PDFp7 finite penalty disappearance required; p16 says penalties halved after failed pricing and set towardzero at end. Raw predicted duals explicitly may be dual-infeasible and are not certified lowerbounds.</t>
        </is>
      </c>
      <c r="O40" s="10" t="inlineStr">
        <is>
          <t>No direct method_id join; family evidence and method description require variant-specific allocation.</t>
        </is>
      </c>
      <c r="P40" s="12" t="inlineStr"/>
      <c r="Q40" s="12" t="inlineStr"/>
      <c r="R40" s="12" t="inlineStr"/>
      <c r="S40" s="12" t="inlineStr"/>
      <c r="T40" s="12" t="inlineStr"/>
      <c r="U40" s="12" t="inlineStr"/>
      <c r="V40" s="12" t="inlineStr"/>
      <c r="W40" s="12" t="inlineStr"/>
      <c r="X40" s="12" t="inlineStr"/>
      <c r="Y40" s="12" t="inlineStr"/>
      <c r="Z40" s="12" t="inlineStr"/>
    </row>
    <row r="41" ht="60" customHeight="1">
      <c r="A41" s="9" t="inlineStr">
        <is>
          <t>必核</t>
        </is>
      </c>
      <c r="B41" s="10" t="n">
        <v>72</v>
      </c>
      <c r="C41" s="10" t="inlineStr">
        <is>
          <t>S057-M1</t>
        </is>
      </c>
      <c r="D41" s="10" t="inlineStr">
        <is>
          <t>Table 4 引用的研究</t>
        </is>
      </c>
      <c r="E41" s="10" t="inlineStr">
        <is>
          <t>Yuan et al., 2024</t>
        </is>
      </c>
      <c r="F41" s="10" t="inlineStr">
        <is>
          <t>学习引导</t>
        </is>
      </c>
      <c r="G41" s="10" t="inlineStr">
        <is>
          <t>PPO multiple-column selection of 5 out of 10</t>
        </is>
      </c>
      <c r="H41" s="10" t="inlineStr">
        <is>
          <t>L6</t>
        </is>
      </c>
      <c r="I41" s="10" t="inlineStr">
        <is>
          <t>NONE</t>
        </is>
      </c>
      <c r="J41" s="10" t="inlineStr">
        <is>
          <t>G2</t>
        </is>
      </c>
      <c r="K41" s="10" t="inlineStr">
        <is>
          <t>E2</t>
        </is>
      </c>
      <c r="L41" s="10" t="inlineStr">
        <is>
          <t>02_参考文献/论文全文/S057_Yuan_2024.pdf</t>
        </is>
      </c>
      <c r="M41" s="10" t="inlineStr">
        <is>
          <t>PDF pp3–6 methodology/hyperparameters/comparison || PDF pp5–6 Table1 || PDF p6 Table2; p7 Table3 || PDF p7 Table4 andablation</t>
        </is>
      </c>
      <c r="N41" s="10" t="inlineStr">
        <is>
          <t>MostnegativeoptimalPPsolution forciblyselected p5;unchangedPPs remain available aftercolumnselection. Exactpricing guard removes empty-selectionproblem;implementation tolerances/solverversionNR.</t>
        </is>
      </c>
      <c r="O41" s="10" t="inlineStr"/>
      <c r="P41" s="12" t="inlineStr"/>
      <c r="Q41" s="12" t="inlineStr"/>
      <c r="R41" s="12" t="inlineStr"/>
      <c r="S41" s="12" t="inlineStr"/>
      <c r="T41" s="12" t="str">
        <v>无法判断</v>
      </c>
      <c r="U41" s="12" t="inlineStr"/>
      <c r="V41" s="12" t="str">
        <v>D086 主机制：未确定。原值只作历史记录，暂不覆盖源文件。</v>
      </c>
      <c r="W41" s="12" t="str">
        <v>D086 PDF 1、3–7；MDP Actions；Hyperparameter Configuration；Tables1–4</v>
      </c>
      <c r="X41" s="12" t="str">
        <v>已确认字段已用于新版稿件。未确定字段保留原值并在稿件标 †。原文核验由 Codex 完成；本次记录作者裁决，不代表独立人工复核。</v>
      </c>
      <c r="Y41" s="12" t="str">
        <v>Codex（依据作者裁决）</v>
      </c>
      <c r="Z41" s="12" t="str">
        <v>2026-10-15</v>
      </c>
    </row>
    <row r="42" ht="60" customHeight="1">
      <c r="A42" s="9" t="inlineStr">
        <is>
          <t>必核</t>
        </is>
      </c>
      <c r="B42" s="10" t="n">
        <v>73</v>
      </c>
      <c r="C42" s="10" t="inlineStr">
        <is>
          <t>S058-M1</t>
        </is>
      </c>
      <c r="D42" s="10" t="inlineStr">
        <is>
          <t>完整树评估（S2）；Table 4 引用的研究</t>
        </is>
      </c>
      <c r="E42" s="10" t="inlineStr">
        <is>
          <t>Koutecká et al., 2025</t>
        </is>
      </c>
      <c r="F42" s="10" t="inlineStr">
        <is>
          <t>学习引导</t>
        </is>
      </c>
      <c r="G42" s="10" t="inlineStr">
        <is>
          <t>ML partial-pricing ranker, k varied</t>
        </is>
      </c>
      <c r="H42" s="10" t="inlineStr">
        <is>
          <t>L3</t>
        </is>
      </c>
      <c r="I42" s="10" t="inlineStr">
        <is>
          <t>L1</t>
        </is>
      </c>
      <c r="J42" s="10" t="inlineStr">
        <is>
          <t>G1</t>
        </is>
      </c>
      <c r="K42" s="10" t="inlineStr">
        <is>
          <t>E0|E4</t>
        </is>
      </c>
      <c r="L42" s="10" t="inlineStr">
        <is>
          <t>02_参考文献/论文全文/S058_Koutecka_2025.pdf</t>
        </is>
      </c>
      <c r="M42" s="10" t="inlineStr">
        <is>
          <t>PDF pp4–6 §§3–4.3,Algorithm1; p13 §6.3.2 || PDF pp9–11 §§5.3,6.2,Tables2–3 || PDF pp11–12 §6.3 Table4 || PDF p12 Table4 and p13 Table5,§6.4 || PDF pp12–13 §6.3.2 and Table4</t>
        </is>
      </c>
      <c r="N42" s="10" t="inlineStr">
        <is>
          <t>PDFp5 and Algorithm1p6 explicitly exhaust PPs before no-column termination at every node; no learned permanent exclusion. Missing appendix prevents independent audit of fixing and node feasibility details.</t>
        </is>
      </c>
      <c r="O42" s="10" t="inlineStr"/>
      <c r="P42" s="12" t="inlineStr"/>
      <c r="Q42" s="12" t="inlineStr"/>
      <c r="R42" s="12" t="inlineStr"/>
      <c r="S42" s="12" t="str">
        <v>需改</v>
      </c>
      <c r="T42" s="12" t="inlineStr"/>
      <c r="U42" s="12" t="inlineStr"/>
      <c r="V42" s="12" t="str">
        <v>D068 次层：NONE</v>
      </c>
      <c r="W42" s="12" t="str">
        <v>D068 PDF 4–6、11–13；§3–4.3 Algorithm1；§6.2表3；§6.3–6.4表4–5</v>
      </c>
      <c r="X42" s="12" t="str">
        <v>已确认字段已用于新版稿件。未确定字段保留原值并在稿件标 †。原文核验由 Codex 完成；本次记录作者裁决，不代表独立人工复核。</v>
      </c>
      <c r="Y42" s="12" t="str">
        <v>Codex（依据作者裁决）</v>
      </c>
      <c r="Z42" s="12" t="str">
        <v>2026-10-15</v>
      </c>
    </row>
    <row r="43" ht="60" customHeight="1">
      <c r="A43" s="9" t="inlineStr">
        <is>
          <t>必核</t>
        </is>
      </c>
      <c r="B43" s="10" t="n">
        <v>74</v>
      </c>
      <c r="C43" s="10" t="inlineStr">
        <is>
          <t>S059-M1</t>
        </is>
      </c>
      <c r="D43" s="10" t="inlineStr">
        <is>
          <t>Table 4 引用的研究</t>
        </is>
      </c>
      <c r="E43" s="10" t="inlineStr">
        <is>
          <t>Hu et al., 2025</t>
        </is>
      </c>
      <c r="F43" s="10" t="inlineStr">
        <is>
          <t>学习引导</t>
        </is>
      </c>
      <c r="G43" s="10" t="inlineStr">
        <is>
          <t>FFCG adaptive column subset</t>
        </is>
      </c>
      <c r="H43" s="10" t="inlineStr">
        <is>
          <t>L6</t>
        </is>
      </c>
      <c r="I43" s="10" t="inlineStr">
        <is>
          <t>NONE</t>
        </is>
      </c>
      <c r="J43" s="10" t="inlineStr">
        <is>
          <t>G2</t>
        </is>
      </c>
      <c r="K43" s="10" t="inlineStr">
        <is>
          <t>E2</t>
        </is>
      </c>
      <c r="L43" s="10" t="inlineStr">
        <is>
          <t>02_参考文献/论文全文/S059_Hu_2025.pdf</t>
        </is>
      </c>
      <c r="M43" s="10" t="inlineStr">
        <is>
          <t>PDF pp3–5 Algorithms1–2 || PDF pp6–7 Tables1–2 || PDF p7 Table3 andResults onVRPTW || PDF p7 §5.5 Figure3 andlimitations</t>
        </is>
      </c>
      <c r="N43" s="10" t="inlineStr">
        <is>
          <t>Algorithm1forcesonecolumnbeforeSTOPandAlgorithm2repricesfullSPuntilcandidatepoolisempty. ExactCGclaimconditionalonfullpricingandnegativecandidategeneration;missingSPimplementation/tolerancespreventcompletecertificateaudit.</t>
        </is>
      </c>
      <c r="O43" s="10" t="inlineStr"/>
      <c r="P43" s="12" t="inlineStr"/>
      <c r="Q43" s="12" t="inlineStr"/>
      <c r="R43" s="12" t="inlineStr"/>
      <c r="S43" s="12" t="inlineStr"/>
      <c r="T43" s="12" t="str">
        <v>无法判断</v>
      </c>
      <c r="U43" s="12" t="inlineStr"/>
      <c r="V43" s="12" t="str">
        <v>D087 主机制：未确定。原值只作历史记录，暂不覆盖源文件。</v>
      </c>
      <c r="W43" s="12" t="str">
        <v>D087 PDF 正式版3–7；扩展版9、11；§4 Algorithms1–2；§5 Tables1–3；附录B/F.2</v>
      </c>
      <c r="X43" s="12" t="str">
        <v>已确认字段已用于新版稿件。未确定字段保留原值并在稿件标 †。原文核验由 Codex 完成；本次记录作者裁决，不代表独立人工复核。</v>
      </c>
      <c r="Y43" s="12" t="str">
        <v>Codex（依据作者裁决）</v>
      </c>
      <c r="Z43" s="12" t="str">
        <v>2026-10-15</v>
      </c>
    </row>
    <row r="44">
      <c r="A44" s="9" t="inlineStr">
        <is>
          <t>必核</t>
        </is>
      </c>
      <c r="B44" s="10" t="n">
        <v>76</v>
      </c>
      <c r="C44" s="10" t="inlineStr">
        <is>
          <t>S060-M2</t>
        </is>
      </c>
      <c r="D44" s="10" t="inlineStr">
        <is>
          <t>只有研究族级证据，需补本变体页码</t>
        </is>
      </c>
      <c r="E44" s="10" t="inlineStr">
        <is>
          <t>Xu et al., 2025</t>
        </is>
      </c>
      <c r="F44" s="10" t="inlineStr">
        <is>
          <t>学习引导</t>
        </is>
      </c>
      <c r="G44" s="10" t="inlineStr">
        <is>
          <t>Completed root CG component with full-network fallback</t>
        </is>
      </c>
      <c r="H44" s="10" t="inlineStr">
        <is>
          <t>L3</t>
        </is>
      </c>
      <c r="I44" s="10" t="inlineStr">
        <is>
          <t>L4</t>
        </is>
      </c>
      <c r="J44" s="10" t="inlineStr">
        <is>
          <t>G2</t>
        </is>
      </c>
      <c r="K44" s="10" t="inlineStr">
        <is>
          <t>E2</t>
        </is>
      </c>
      <c r="L44" s="10" t="inlineStr">
        <is>
          <t>02_参考文献/论文全文/S060_Xu_2025.pdf</t>
        </is>
      </c>
      <c r="M44" s="10" t="inlineStr"/>
      <c r="N44" s="10" t="inlineStr">
        <is>
          <t>Full-networkpricing afterheuristicfails p6Algorithm1 supportsG2 forcompletedLP. OveralloutputsolvesintegerRMPonly andcappedrunsmaynotfinishCG,sooverallG5,notexactintegerB&amp;P.</t>
        </is>
      </c>
      <c r="O44" s="10" t="inlineStr">
        <is>
          <t>No direct method_id join; family evidence and method description require variant-specific allocation.</t>
        </is>
      </c>
      <c r="P44" s="12" t="inlineStr"/>
      <c r="Q44" s="12" t="inlineStr"/>
      <c r="R44" s="12" t="inlineStr"/>
      <c r="S44" s="12" t="inlineStr"/>
      <c r="T44" s="12" t="inlineStr"/>
      <c r="U44" s="12" t="inlineStr"/>
      <c r="V44" s="12" t="inlineStr"/>
      <c r="W44" s="12" t="inlineStr"/>
      <c r="X44" s="12" t="inlineStr"/>
      <c r="Y44" s="12" t="inlineStr"/>
      <c r="Z44" s="12" t="inlineStr"/>
    </row>
    <row r="45">
      <c r="A45" s="9" t="inlineStr">
        <is>
          <t>必核</t>
        </is>
      </c>
      <c r="B45" s="10" t="n">
        <v>78</v>
      </c>
      <c r="C45" s="10" t="inlineStr">
        <is>
          <t>S061-M2</t>
        </is>
      </c>
      <c r="D45" s="10" t="inlineStr">
        <is>
          <t>只有研究族级证据，需补本变体页码</t>
        </is>
      </c>
      <c r="E45" s="10" t="inlineStr">
        <is>
          <t>Abouelrous et al., 2025b</t>
        </is>
      </c>
      <c r="F45" s="10" t="inlineStr">
        <is>
          <t>学习引导</t>
        </is>
      </c>
      <c r="G45" s="10" t="inlineStr">
        <is>
          <t>Hybrid learned pricing then capped DP</t>
        </is>
      </c>
      <c r="H45" s="10" t="inlineStr">
        <is>
          <t>L5</t>
        </is>
      </c>
      <c r="I45" s="10" t="inlineStr">
        <is>
          <t>L3</t>
        </is>
      </c>
      <c r="J45" s="10" t="inlineStr">
        <is>
          <t>G5</t>
        </is>
      </c>
      <c r="K45" s="10" t="inlineStr">
        <is>
          <t>E2</t>
        </is>
      </c>
      <c r="L45" s="10" t="inlineStr">
        <is>
          <t>02_参考文献/论文全文/S061_Abouelrous_2025.pdf</t>
        </is>
      </c>
      <c r="M45" s="10" t="inlineStr"/>
      <c r="N45" s="10" t="inlineStr">
        <is>
          <t>Standalone stops when RL finds no negative column; hybrid switches permanently to same time-limited heuristic DP, so no demonstrated exact pricing certificate</t>
        </is>
      </c>
      <c r="O45" s="10" t="inlineStr">
        <is>
          <t>No direct method_id join; family evidence and method description require variant-specific allocation.</t>
        </is>
      </c>
      <c r="P45" s="12" t="inlineStr"/>
      <c r="Q45" s="12" t="inlineStr"/>
      <c r="R45" s="12" t="inlineStr"/>
      <c r="S45" s="12" t="inlineStr"/>
      <c r="T45" s="12" t="inlineStr"/>
      <c r="U45" s="12" t="inlineStr"/>
      <c r="V45" s="12" t="inlineStr"/>
      <c r="W45" s="12" t="inlineStr"/>
      <c r="X45" s="12" t="inlineStr"/>
      <c r="Y45" s="12" t="inlineStr"/>
      <c r="Z45" s="12" t="inlineStr"/>
    </row>
    <row r="46" ht="60" customHeight="1">
      <c r="A46" s="9" t="inlineStr">
        <is>
          <t>必核</t>
        </is>
      </c>
      <c r="B46" s="10" t="n">
        <v>79</v>
      </c>
      <c r="C46" s="10" t="inlineStr">
        <is>
          <t>S062-M1</t>
        </is>
      </c>
      <c r="D46" s="10" t="inlineStr">
        <is>
          <t>完整树评估（S2）；Table 4 引用的研究</t>
        </is>
      </c>
      <c r="E46" s="10" t="inlineStr">
        <is>
          <t>You et al., 2026b</t>
        </is>
      </c>
      <c r="F46" s="10" t="inlineStr">
        <is>
          <t>学习引导</t>
        </is>
      </c>
      <c r="G46" s="10" t="inlineStr">
        <is>
          <t>2LBB fixed candidate budget</t>
        </is>
      </c>
      <c r="H46" s="10" t="inlineStr">
        <is>
          <t>L1</t>
        </is>
      </c>
      <c r="I46" s="10" t="inlineStr">
        <is>
          <t>NONE</t>
        </is>
      </c>
      <c r="J46" s="10" t="inlineStr">
        <is>
          <t>G1</t>
        </is>
      </c>
      <c r="K46" s="10" t="inlineStr">
        <is>
          <t>E4</t>
        </is>
      </c>
      <c r="L46" s="10" t="inlineStr">
        <is>
          <t>02_参考文献/论文全文/S062_You_2026.pdf</t>
        </is>
      </c>
      <c r="M46" s="10" t="inlineStr">
        <is>
          <t>PDF pp8–11 §4.2–4.5, Assumptions1–3, Propositions1–3 and implementation Remarks || PDF pp14–16 Table2 and Tables3–4 || PDF pp16–18 §6.1.3–6.1.4 Tables5–6 || PDF pp19–21 Tables7–9 || PDF pp20–21 §6.3 Table10</t>
        </is>
      </c>
      <c r="N46" s="10" t="inlineStr">
        <is>
          <t>ML selects only branching decisions; heuristic candidate scores are not node certificates. Valid full BPC machinery retained. Proposition1–3 exact-score ranking guarantee assumes perfect monotone predictions and exact tests; implemented heuristic tests explicitly relax those ranking claims p11 without altering BPC correctness.</t>
        </is>
      </c>
      <c r="O46" s="10" t="inlineStr"/>
      <c r="P46" s="12" t="inlineStr"/>
      <c r="Q46" s="12" t="inlineStr"/>
      <c r="R46" s="12" t="inlineStr"/>
      <c r="S46" s="12" t="inlineStr"/>
      <c r="T46" s="12" t="inlineStr"/>
      <c r="U46" s="12" t="str">
        <v>无法判断</v>
      </c>
      <c r="V46" s="12" t="str">
        <v>D108 证据范围：未确定。原值只作历史记录，暂不覆盖源文件。</v>
      </c>
      <c r="W46" s="12" t="str">
        <v>D108 PDF 7–11、14–16、21；§3.3–4.5；§6.1 Tables2–4；§6.3 Table10</v>
      </c>
      <c r="X46" s="12" t="str">
        <v>已确认字段已用于新版稿件。未确定字段保留原值并在稿件标 †。原文核验由 Codex 完成；本次记录作者裁决，不代表独立人工复核。</v>
      </c>
      <c r="Y46" s="12" t="str">
        <v>Codex（依据作者裁决）</v>
      </c>
      <c r="Z46" s="12" t="str">
        <v>2026-10-15</v>
      </c>
    </row>
    <row r="47" ht="60" customHeight="1">
      <c r="A47" s="9" t="inlineStr">
        <is>
          <t>必核</t>
        </is>
      </c>
      <c r="B47" s="10" t="n">
        <v>81</v>
      </c>
      <c r="C47" s="10" t="inlineStr">
        <is>
          <t>S062-M3</t>
        </is>
      </c>
      <c r="D47" s="10" t="inlineStr">
        <is>
          <t>只有研究族级证据，需补本变体页码；完整树评估（S2）；Table 4 引用的研究</t>
        </is>
      </c>
      <c r="E47" s="10" t="inlineStr">
        <is>
          <t>You et al., 2026b</t>
        </is>
      </c>
      <c r="F47" s="10" t="inlineStr">
        <is>
          <t>传统</t>
        </is>
      </c>
      <c r="G47" s="10" t="inlineStr">
        <is>
          <t>3PB-dy learning-free adaptive comparator</t>
        </is>
      </c>
      <c r="H47" s="10" t="inlineStr">
        <is>
          <t>L1</t>
        </is>
      </c>
      <c r="I47" s="10" t="inlineStr">
        <is>
          <t>NONE</t>
        </is>
      </c>
      <c r="J47" s="10" t="inlineStr">
        <is>
          <t>G1</t>
        </is>
      </c>
      <c r="K47" s="10" t="inlineStr">
        <is>
          <t>E4</t>
        </is>
      </c>
      <c r="L47" s="10" t="inlineStr">
        <is>
          <t>02_参考文献/论文全文/S062_You_2026.pdf</t>
        </is>
      </c>
      <c r="M47" s="10" t="inlineStr"/>
      <c r="N47" s="10" t="inlineStr">
        <is>
          <t>ML selects only branching decisions; heuristic candidate scores are not node certificates. Valid full BPC machinery retained. Proposition1–3 exact-score ranking guarantee assumes perfect monotone predictions and exact tests; implemented heuristic tests explicitly relax those ranking claims p11 without altering BPC correctness.</t>
        </is>
      </c>
      <c r="O47" s="10" t="inlineStr">
        <is>
          <t>No direct method_id join; family evidence and method description require variant-specific allocation.</t>
        </is>
      </c>
      <c r="P47" s="12" t="inlineStr"/>
      <c r="Q47" s="12" t="inlineStr"/>
      <c r="R47" s="12" t="inlineStr"/>
      <c r="S47" s="12" t="inlineStr"/>
      <c r="T47" s="12" t="inlineStr"/>
      <c r="U47" s="12" t="str">
        <v>无法判断</v>
      </c>
      <c r="V47" s="12" t="str">
        <v>D110 证据范围：未确定。原值只作历史记录，暂不覆盖源文件。</v>
      </c>
      <c r="W47" s="12" t="str">
        <v>D110 PDF 7–11、14–16、21；§3.3–4.5；§6.1 Tables2–4；§6.3 Table10</v>
      </c>
      <c r="X47" s="12" t="str">
        <v>已确认字段已用于新版稿件。未确定字段保留原值并在稿件标 †。原文核验由 Codex 完成；本次记录作者裁决，不代表独立人工复核。</v>
      </c>
      <c r="Y47" s="12" t="str">
        <v>Codex（依据作者裁决）</v>
      </c>
      <c r="Z47" s="12" t="str">
        <v>2026-10-15</v>
      </c>
    </row>
    <row r="48">
      <c r="A48" s="9" t="inlineStr">
        <is>
          <t>必核</t>
        </is>
      </c>
      <c r="B48" s="10" t="n">
        <v>83</v>
      </c>
      <c r="C48" s="10" t="inlineStr">
        <is>
          <t>S063-M2</t>
        </is>
      </c>
      <c r="D48" s="10" t="inlineStr">
        <is>
          <t>只有研究族级证据，需补本变体页码</t>
        </is>
      </c>
      <c r="E48" s="10" t="inlineStr">
        <is>
          <t>Wang and Khir, 2026</t>
        </is>
      </c>
      <c r="F48" s="10" t="inlineStr">
        <is>
          <t>学习引导</t>
        </is>
      </c>
      <c r="G48" s="10" t="inlineStr">
        <is>
          <t>RLSCG(P)</t>
        </is>
      </c>
      <c r="H48" s="10" t="inlineStr">
        <is>
          <t>L2</t>
        </is>
      </c>
      <c r="I48" s="10" t="inlineStr">
        <is>
          <t>NONE</t>
        </is>
      </c>
      <c r="J48" s="10" t="inlineStr">
        <is>
          <t>G4</t>
        </is>
      </c>
      <c r="K48" s="10" t="inlineStr">
        <is>
          <t>E2</t>
        </is>
      </c>
      <c r="L48" s="10" t="inlineStr">
        <is>
          <t>02_参考文献/论文全文/S063_Wang_2026.pdf</t>
        </is>
      </c>
      <c r="M48" s="10" t="inlineStr"/>
      <c r="N48" s="10" t="inlineStr">
        <is>
          <t>Dynamic action mask halves epsilon upper bound whenever pricing returns no improving column; finite discrete action set eventually forces zero penalty; exact pricing.</t>
        </is>
      </c>
      <c r="O48" s="10" t="inlineStr">
        <is>
          <t>No direct method_id join; family evidence and method description require variant-specific allocation.</t>
        </is>
      </c>
      <c r="P48" s="12" t="inlineStr"/>
      <c r="Q48" s="12" t="inlineStr"/>
      <c r="R48" s="12" t="inlineStr"/>
      <c r="S48" s="12" t="inlineStr"/>
      <c r="T48" s="12" t="inlineStr"/>
      <c r="U48" s="12" t="inlineStr"/>
      <c r="V48" s="12" t="inlineStr"/>
      <c r="W48" s="12" t="inlineStr"/>
      <c r="X48" s="12" t="inlineStr"/>
      <c r="Y48" s="12" t="inlineStr"/>
      <c r="Z48" s="12" t="inlineStr"/>
    </row>
    <row r="49">
      <c r="A49" s="9" t="inlineStr">
        <is>
          <t>必核</t>
        </is>
      </c>
      <c r="B49" s="10" t="n">
        <v>88</v>
      </c>
      <c r="C49" s="10" t="inlineStr">
        <is>
          <t>S066-M3</t>
        </is>
      </c>
      <c r="D49" s="10" t="inlineStr">
        <is>
          <t>只有研究族级证据，需补本变体页码</t>
        </is>
      </c>
      <c r="E49" s="10" t="inlineStr">
        <is>
          <t>You et al., 2026a</t>
        </is>
      </c>
      <c r="F49" s="10" t="inlineStr">
        <is>
          <t>学习引导</t>
        </is>
      </c>
      <c r="G49" s="10" t="inlineStr">
        <is>
          <t>Gap-target recovery</t>
        </is>
      </c>
      <c r="H49" s="10" t="inlineStr">
        <is>
          <t>L2</t>
        </is>
      </c>
      <c r="I49" s="10" t="inlineStr">
        <is>
          <t>L3</t>
        </is>
      </c>
      <c r="J49" s="10" t="inlineStr">
        <is>
          <t>G4</t>
        </is>
      </c>
      <c r="K49" s="10" t="inlineStr"/>
      <c r="L49" s="10" t="inlineStr">
        <is>
          <t>02_参考文献/论文全文/S066_You_2026.pdf</t>
        </is>
      </c>
      <c r="M49" s="10" t="inlineStr"/>
      <c r="N49" s="10" t="inlineStr">
        <is>
          <t>Proposition3: after exactCG, zero artificial activity in an augmented optimum certifies boundequality; CorollaryEC1 finite releases with exactactivity,no gap-targetstop. Numeric1e−3activitytest checkedagainstindependentlyrecorded baselinebound.</t>
        </is>
      </c>
      <c r="O49" s="10" t="inlineStr">
        <is>
          <t>No direct method_id join; family evidence and method description require variant-specific allocation.</t>
        </is>
      </c>
      <c r="P49" s="12" t="inlineStr"/>
      <c r="Q49" s="12" t="inlineStr"/>
      <c r="R49" s="12" t="inlineStr"/>
      <c r="S49" s="12" t="inlineStr"/>
      <c r="T49" s="12" t="inlineStr"/>
      <c r="U49" s="12" t="inlineStr"/>
      <c r="V49" s="12" t="inlineStr"/>
      <c r="W49" s="12" t="inlineStr"/>
      <c r="X49" s="12" t="inlineStr"/>
      <c r="Y49" s="12" t="inlineStr"/>
      <c r="Z49" s="12" t="inlineStr"/>
    </row>
    <row r="50">
      <c r="A50" s="9" t="inlineStr">
        <is>
          <t>必核</t>
        </is>
      </c>
      <c r="B50" s="10" t="n">
        <v>94</v>
      </c>
      <c r="C50" s="10" t="inlineStr">
        <is>
          <t>S071-M2</t>
        </is>
      </c>
      <c r="D50" s="10" t="inlineStr">
        <is>
          <t>只有研究族级证据，需补本变体页码</t>
        </is>
      </c>
      <c r="E50" s="10" t="inlineStr">
        <is>
          <t>Xue et al., 2026</t>
        </is>
      </c>
      <c r="F50" s="10" t="inlineStr">
        <is>
          <t>学习引导</t>
        </is>
      </c>
      <c r="G50" s="10" t="inlineStr">
        <is>
          <t>Edge-fixing+CG</t>
        </is>
      </c>
      <c r="H50" s="10" t="inlineStr">
        <is>
          <t>L4</t>
        </is>
      </c>
      <c r="I50" s="10" t="inlineStr">
        <is>
          <t>L3|L5</t>
        </is>
      </c>
      <c r="J50" s="10" t="inlineStr">
        <is>
          <t>G5</t>
        </is>
      </c>
      <c r="K50" s="10" t="inlineStr">
        <is>
          <t>E0|E2</t>
        </is>
      </c>
      <c r="L50" s="10" t="inlineStr">
        <is>
          <t>02_参考文献/论文全文/S071_Xue_2026.pdf</t>
        </is>
      </c>
      <c r="M50" s="10" t="inlineStr"/>
      <c r="N50" s="10" t="inlineStr">
        <is>
          <t>Swap provides a heuristic override of predicted fixed arcs. No exact pricing fallback is used inside the ML solve. Integer recovery uses the restricted master. Fleet-size relaxation is restored before output according to page 17.</t>
        </is>
      </c>
      <c r="O50" s="10" t="inlineStr">
        <is>
          <t>No direct method_id join; family evidence and method description require variant-specific allocation.</t>
        </is>
      </c>
      <c r="P50" s="12" t="inlineStr"/>
      <c r="Q50" s="12" t="inlineStr"/>
      <c r="R50" s="12" t="inlineStr"/>
      <c r="S50" s="12" t="inlineStr"/>
      <c r="T50" s="12" t="inlineStr"/>
      <c r="U50" s="12" t="inlineStr"/>
      <c r="V50" s="12" t="inlineStr"/>
      <c r="W50" s="12" t="inlineStr"/>
      <c r="X50" s="12" t="inlineStr"/>
      <c r="Y50" s="12" t="inlineStr"/>
      <c r="Z50" s="12" t="inlineStr"/>
    </row>
    <row r="51">
      <c r="A51" s="9" t="inlineStr">
        <is>
          <t>必核</t>
        </is>
      </c>
      <c r="B51" s="10" t="n">
        <v>95</v>
      </c>
      <c r="C51" s="10" t="inlineStr">
        <is>
          <t>S071-M3</t>
        </is>
      </c>
      <c r="D51" s="10" t="inlineStr">
        <is>
          <t>只有研究族级证据，需补本变体页码</t>
        </is>
      </c>
      <c r="E51" s="10" t="inlineStr">
        <is>
          <t>Xue et al., 2026</t>
        </is>
      </c>
      <c r="F51" s="10" t="inlineStr">
        <is>
          <t>学习引导</t>
        </is>
      </c>
      <c r="G51" s="10" t="inlineStr">
        <is>
          <t>Break-fixing+CG</t>
        </is>
      </c>
      <c r="H51" s="10" t="inlineStr">
        <is>
          <t>L3</t>
        </is>
      </c>
      <c r="I51" s="10" t="inlineStr">
        <is>
          <t>L5</t>
        </is>
      </c>
      <c r="J51" s="10" t="inlineStr">
        <is>
          <t>G5</t>
        </is>
      </c>
      <c r="K51" s="10" t="inlineStr">
        <is>
          <t>E0|E2</t>
        </is>
      </c>
      <c r="L51" s="10" t="inlineStr">
        <is>
          <t>02_参考文献/论文全文/S071_Xue_2026.pdf</t>
        </is>
      </c>
      <c r="M51" s="10" t="inlineStr"/>
      <c r="N51" s="10" t="inlineStr">
        <is>
          <t>Swap provides a heuristic override of predicted fixed arcs. No exact pricing fallback is used inside the ML solve. Integer recovery uses the restricted master. Fleet-size relaxation is restored before output according to page 17.</t>
        </is>
      </c>
      <c r="O51" s="10" t="inlineStr">
        <is>
          <t>No direct method_id join; family evidence and method description require variant-specific allocation.</t>
        </is>
      </c>
      <c r="P51" s="12" t="inlineStr"/>
      <c r="Q51" s="12" t="inlineStr"/>
      <c r="R51" s="12" t="inlineStr"/>
      <c r="S51" s="12" t="inlineStr"/>
      <c r="T51" s="12" t="inlineStr"/>
      <c r="U51" s="12" t="inlineStr"/>
      <c r="V51" s="12" t="inlineStr"/>
      <c r="W51" s="12" t="inlineStr"/>
      <c r="X51" s="12" t="inlineStr"/>
      <c r="Y51" s="12" t="inlineStr"/>
      <c r="Z51" s="12" t="inlineStr"/>
    </row>
    <row r="52">
      <c r="A52" s="9" t="inlineStr">
        <is>
          <t>必核</t>
        </is>
      </c>
      <c r="B52" s="10" t="n">
        <v>103</v>
      </c>
      <c r="C52" s="10" t="inlineStr">
        <is>
          <t>S079-M1</t>
        </is>
      </c>
      <c r="D52" s="10" t="inlineStr">
        <is>
          <t>Table 4 引用的研究</t>
        </is>
      </c>
      <c r="E52" s="10" t="inlineStr">
        <is>
          <t>Sugishita et al., 2024</t>
        </is>
      </c>
      <c r="F52" s="10" t="inlineStr">
        <is>
          <t>学习引导</t>
        </is>
      </c>
      <c r="G52" s="10" t="inlineStr">
        <is>
          <t>Main described algorithm</t>
        </is>
      </c>
      <c r="H52" s="10" t="inlineStr">
        <is>
          <t>L2</t>
        </is>
      </c>
      <c r="I52" s="10" t="inlineStr">
        <is>
          <t>NONE</t>
        </is>
      </c>
      <c r="J52" s="10" t="inlineStr">
        <is>
          <t>G4</t>
        </is>
      </c>
      <c r="K52" s="10" t="inlineStr">
        <is>
          <t>E0|E2</t>
        </is>
      </c>
      <c r="L52" s="10" t="inlineStr">
        <is>
          <t>02_参考文献/论文全文/S079_Sugishita_2024.pdf</t>
        </is>
      </c>
      <c r="M52" s="10" t="inlineStr">
        <is>
          <t>PDF pp5–8 §2 Eq5–10 || PDF p13 Table4;pp11–12 §4.3 || PDF pp9–10 §4.2 andTable1;p17AppendixC;p14Table5 || PDF p12 Table3;PDFp11§4.3.2</t>
        </is>
      </c>
      <c r="N52" s="10" t="inlineStr">
        <is>
          <t>Eq7 PDFp6 valid Lagrangian lower bound from solved pricing for any learned dual;compare against feasible primal upper bound for prescribed gap. No tree required or studied; near-optimal0.25–1% not exact integer guarantee.</t>
        </is>
      </c>
      <c r="O52" s="10" t="inlineStr"/>
      <c r="P52" s="12" t="inlineStr"/>
      <c r="Q52" s="12" t="inlineStr"/>
      <c r="R52" s="12" t="inlineStr"/>
      <c r="S52" s="12" t="inlineStr"/>
      <c r="T52" s="12" t="inlineStr"/>
      <c r="U52" s="12" t="inlineStr"/>
      <c r="V52" s="12" t="inlineStr"/>
      <c r="W52" s="12" t="inlineStr"/>
      <c r="X52" s="12" t="inlineStr"/>
      <c r="Y52" s="12" t="inlineStr"/>
      <c r="Z52" s="12" t="inlineStr"/>
    </row>
    <row r="53">
      <c r="A53" s="9" t="inlineStr">
        <is>
          <t>必核</t>
        </is>
      </c>
      <c r="B53" s="10" t="n">
        <v>108</v>
      </c>
      <c r="C53" s="10" t="inlineStr">
        <is>
          <t>S083-M1</t>
        </is>
      </c>
      <c r="D53" s="10" t="inlineStr">
        <is>
          <t>完整树评估（S2）</t>
        </is>
      </c>
      <c r="E53" s="10" t="inlineStr">
        <is>
          <t>Xia and Zhang, 2024</t>
        </is>
      </c>
      <c r="F53" s="10" t="inlineStr">
        <is>
          <t>学习引导</t>
        </is>
      </c>
      <c r="G53" s="10" t="inlineStr">
        <is>
          <t>Main described algorithm</t>
        </is>
      </c>
      <c r="H53" s="10" t="inlineStr">
        <is>
          <t>L4</t>
        </is>
      </c>
      <c r="I53" s="10" t="inlineStr">
        <is>
          <t>L6</t>
        </is>
      </c>
      <c r="J53" s="10" t="inlineStr">
        <is>
          <t>G2</t>
        </is>
      </c>
      <c r="K53" s="10" t="inlineStr">
        <is>
          <t>E0|E2|E4</t>
        </is>
      </c>
      <c r="L53" s="10" t="inlineStr">
        <is>
          <t>02_参考文献/论文全文/S083_Xia_2024.pdf</t>
        </is>
      </c>
      <c r="M53" s="10" t="inlineStr">
        <is>
          <t>PDF p.4 §4.1, Fig.1 p.2 || PDF p.6 §5.1–5.2, Fig.3 || PDF p.7 Table 1; pp.6–7 Solving Open Instance || PDF p.7 Table2 and §5.3</t>
        </is>
      </c>
      <c r="N53" s="10" t="inlineStr">
        <is>
          <t>PDF p.4 §4.1: exact checking recovers false negatives; optimal-basis feasibility checks and false-positive cuts remove relaxed-domain violations. Described preservation mechanism, not a complete independent convergence proof.</t>
        </is>
      </c>
      <c r="O53" s="10" t="inlineStr"/>
      <c r="P53" s="12" t="inlineStr"/>
      <c r="Q53" s="12" t="inlineStr"/>
      <c r="R53" s="12" t="inlineStr"/>
      <c r="S53" s="12" t="inlineStr"/>
      <c r="T53" s="12" t="inlineStr"/>
      <c r="U53" s="12" t="inlineStr"/>
      <c r="V53" s="12" t="inlineStr"/>
      <c r="W53" s="12" t="inlineStr"/>
      <c r="X53" s="12" t="inlineStr"/>
      <c r="Y53" s="12" t="inlineStr"/>
      <c r="Z53" s="12" t="inlineStr"/>
    </row>
    <row r="54" ht="60" customHeight="1">
      <c r="A54" s="9" t="inlineStr">
        <is>
          <t>必核</t>
        </is>
      </c>
      <c r="B54" s="10" t="n">
        <v>110</v>
      </c>
      <c r="C54" s="10" t="inlineStr">
        <is>
          <t>S084-M2</t>
        </is>
      </c>
      <c r="D54" s="10" t="inlineStr">
        <is>
          <t>只有研究族级证据，需补本变体页码</t>
        </is>
      </c>
      <c r="E54" s="10" t="inlineStr">
        <is>
          <t>Dolatkhah et al., 2026</t>
        </is>
      </c>
      <c r="F54" s="10" t="inlineStr">
        <is>
          <t>学习引导</t>
        </is>
      </c>
      <c r="G54" s="10" t="inlineStr">
        <is>
          <t>Overall time-limited RGA-CG plus restricted IP</t>
        </is>
      </c>
      <c r="H54" s="10" t="inlineStr">
        <is>
          <t>L2</t>
        </is>
      </c>
      <c r="I54" s="10" t="inlineStr">
        <is>
          <t>L5</t>
        </is>
      </c>
      <c r="J54" s="10" t="inlineStr">
        <is>
          <t>G5</t>
        </is>
      </c>
      <c r="K54" s="10" t="inlineStr">
        <is>
          <t>E2</t>
        </is>
      </c>
      <c r="L54" s="10" t="inlineStr">
        <is>
          <t>02_参考文献/论文全文/S084_Dolatkhah_2026.pdf</t>
        </is>
      </c>
      <c r="M54" s="10" t="inlineStr"/>
      <c r="N54" s="10" t="inlineStr">
        <is>
          <t>Learning only supplies feasible initial columns; it does not delete pricing choices. Subsequent full-domain MIP pricing can certify CG only when conclusively finished. Empirical large runs all hit7200s and solve final restricted IP, so overall outputs are heuristic G5 and no completeB&amp;P evidence.</t>
        </is>
      </c>
      <c r="O54" s="10" t="inlineStr">
        <is>
          <t>No direct method_id join; family evidence and method description require variant-specific allocation.</t>
        </is>
      </c>
      <c r="P54" s="12" t="inlineStr"/>
      <c r="Q54" s="12" t="inlineStr"/>
      <c r="R54" s="12" t="inlineStr"/>
      <c r="S54" s="12" t="str">
        <v>需改</v>
      </c>
      <c r="T54" s="12" t="inlineStr"/>
      <c r="U54" s="12" t="inlineStr"/>
      <c r="V54" s="12" t="str">
        <v>D073 次层：NONE</v>
      </c>
      <c r="W54" s="12" t="str">
        <v>D073 PDF 12–14;16;18–19;42；§6.1–6.3;§7.3.1;§7.4;Table10;Appendix4 A.4</v>
      </c>
      <c r="X54" s="12" t="str">
        <v>已确认字段已用于新版稿件。未确定字段保留原值并在稿件标 †。原文核验由 Codex 完成；本次记录作者裁决，不代表独立人工复核。</v>
      </c>
      <c r="Y54" s="12" t="str">
        <v>Codex（依据作者裁决）</v>
      </c>
      <c r="Z54" s="12" t="str">
        <v>2026-10-15</v>
      </c>
    </row>
    <row r="55" ht="60" customHeight="1">
      <c r="A55" s="9" t="inlineStr">
        <is>
          <t>必核</t>
        </is>
      </c>
      <c r="B55" s="10" t="n">
        <v>116</v>
      </c>
      <c r="C55" s="10" t="inlineStr">
        <is>
          <t>S089-M2</t>
        </is>
      </c>
      <c r="D55" s="10" t="inlineStr">
        <is>
          <t>只有研究族级证据，需补本变体页码</t>
        </is>
      </c>
      <c r="E55" s="10" t="inlineStr">
        <is>
          <t>Tahir et al., 2021</t>
        </is>
      </c>
      <c r="F55" s="10" t="inlineStr">
        <is>
          <t>学习引导</t>
        </is>
      </c>
      <c r="G55" s="10" t="inlineStr">
        <is>
          <t>Learned pricing-network restriction with restoration</t>
        </is>
      </c>
      <c r="H55" s="10" t="inlineStr">
        <is>
          <t>L4</t>
        </is>
      </c>
      <c r="I55" s="10" t="inlineStr">
        <is>
          <t>NONE</t>
        </is>
      </c>
      <c r="J55" s="10" t="inlineStr">
        <is>
          <t>G2</t>
        </is>
      </c>
      <c r="K55" s="10" t="inlineStr">
        <is>
          <t>E0|E2</t>
        </is>
      </c>
      <c r="L55" s="10" t="inlineStr">
        <is>
          <t>02_参考文献/论文全文/S089_Tahir_2021.pdf</t>
        </is>
      </c>
      <c r="M55" s="10" t="inlineStr"/>
      <c r="N55" s="10" t="inlineStr">
        <is>
          <t>PDFp13§4.1 andp16§4.2.3 restore full pricing network; this does not repair global integralCG stopping/branching omissions.</t>
        </is>
      </c>
      <c r="O55" s="10" t="inlineStr">
        <is>
          <t>No direct method_id join; family evidence and method description require variant-specific allocation.</t>
        </is>
      </c>
      <c r="P55" s="12" t="inlineStr"/>
      <c r="Q55" s="12" t="inlineStr"/>
      <c r="R55" s="12" t="inlineStr"/>
      <c r="S55" s="12" t="inlineStr"/>
      <c r="T55" s="12" t="str">
        <v>无法判断</v>
      </c>
      <c r="U55" s="12" t="inlineStr"/>
      <c r="V55" s="12" t="str">
        <v>D092 主机制：未确定。原值只作历史记录，暂不覆盖源文件。</v>
      </c>
      <c r="W55" s="12" t="str">
        <v>D092 PDF 9–10;13;16–19；Table4;§4.1;§4.2.3;§4.3</v>
      </c>
      <c r="X55" s="12" t="str">
        <v>已确认字段已用于新版稿件。未确定字段保留原值并在稿件标 †。原文核验由 Codex 完成；本次记录作者裁决，不代表独立人工复核。</v>
      </c>
      <c r="Y55" s="12" t="str">
        <v>Codex（依据作者裁决）</v>
      </c>
      <c r="Z55" s="12" t="str">
        <v>2026-10-15</v>
      </c>
    </row>
    <row r="56">
      <c r="A56" s="9" t="inlineStr">
        <is>
          <t>必核</t>
        </is>
      </c>
      <c r="B56" s="10" t="n">
        <v>119</v>
      </c>
      <c r="C56" s="10" t="inlineStr">
        <is>
          <t>S091-M1</t>
        </is>
      </c>
      <c r="D56" s="10" t="inlineStr">
        <is>
          <t>完整树评估（S2）</t>
        </is>
      </c>
      <c r="E56" s="10" t="inlineStr">
        <is>
          <t>Shan et al., 2026</t>
        </is>
      </c>
      <c r="F56" s="10" t="inlineStr">
        <is>
          <t>学习引导</t>
        </is>
      </c>
      <c r="G56" s="10" t="inlineStr">
        <is>
          <t>Main described algorithm</t>
        </is>
      </c>
      <c r="H56" s="10" t="inlineStr">
        <is>
          <t>L3</t>
        </is>
      </c>
      <c r="I56" s="10" t="inlineStr">
        <is>
          <t>L4</t>
        </is>
      </c>
      <c r="J56" s="10" t="inlineStr">
        <is>
          <t>G1</t>
        </is>
      </c>
      <c r="K56" s="10" t="inlineStr">
        <is>
          <t>E2|E4</t>
        </is>
      </c>
      <c r="L56" s="10" t="inlineStr">
        <is>
          <t>02_参考文献/论文全文/S091_Shan_2026.pdf</t>
        </is>
      </c>
      <c r="M56" s="10" t="inlineStr">
        <is>
          <t>PDF pp. 23–27, Sections 6.3.1–6.3.5, Algorithm 2 || PDF pp. 27–30, Section 6.3.6, Theorem 1, Eq. (30), Section 7.3 || PDF pp. 29–30, Sections 7.1–7.2 || PDF p. 29, Section 7.1; pp. 31–32, Section 7.4 || PDF pp. 15–22, Propositions 1–5 and Algorithm 1 || PDF pp. 31–33, Sections 7.4–7.5 and Figure 5</t>
        </is>
      </c>
      <c r="N56" s="10" t="inlineStr">
        <is>
          <t>Complete permutation, all-depot current-state pricing lower bounds, full-domain final pass, valid cuts/branching, independently checked incumbents and tolerance-corrected bounds</t>
        </is>
      </c>
      <c r="O56" s="10" t="inlineStr"/>
      <c r="P56" s="12" t="inlineStr"/>
      <c r="Q56" s="12" t="inlineStr"/>
      <c r="R56" s="12" t="inlineStr"/>
      <c r="S56" s="12" t="inlineStr"/>
      <c r="T56" s="12" t="inlineStr"/>
      <c r="U56" s="12" t="inlineStr"/>
      <c r="V56" s="12" t="inlineStr"/>
      <c r="W56" s="12" t="inlineStr"/>
      <c r="X56" s="12" t="inlineStr"/>
      <c r="Y56" s="12" t="inlineStr"/>
      <c r="Z56" s="12" t="inlineStr"/>
    </row>
    <row r="57" ht="62" customHeight="1">
      <c r="A57" s="9" t="inlineStr">
        <is>
          <t>必核</t>
        </is>
      </c>
      <c r="B57" s="10" t="n">
        <v>132</v>
      </c>
      <c r="C57" s="10" t="inlineStr">
        <is>
          <t>S102-M2</t>
        </is>
      </c>
      <c r="D57" s="10" t="inlineStr">
        <is>
          <t>完整树评估（S2）</t>
        </is>
      </c>
      <c r="E57" s="10" t="inlineStr">
        <is>
          <t>Zhang et al., 2026</t>
        </is>
      </c>
      <c r="F57" s="10" t="inlineStr">
        <is>
          <t>传统</t>
        </is>
      </c>
      <c r="G57" s="10" t="inlineStr">
        <is>
          <t>CSDW-X exact-all Phase-II within-code comparator</t>
        </is>
      </c>
      <c r="H57" s="10" t="inlineStr">
        <is>
          <t>L3</t>
        </is>
      </c>
      <c r="I57" s="10" t="inlineStr">
        <is>
          <t>L2|L6</t>
        </is>
      </c>
      <c r="J57" s="10" t="inlineStr">
        <is>
          <t>G4</t>
        </is>
      </c>
      <c r="K57" s="10" t="inlineStr">
        <is>
          <t>E2|E3|E4</t>
        </is>
      </c>
      <c r="L57" s="10" t="inlineStr">
        <is>
          <t>02_参考文献/论文全文/CL002_Zhang_2026.pdf</t>
        </is>
      </c>
      <c r="M57" s="10" t="inlineStr">
        <is>
          <t>PDF pp10–11 Assumption1 item3 and Proposition1 Eq17; p18 Eq21; page11 visually checked || PDF pp7–8 §3.1; pp11–12 Proposition3 Eq18</t>
        </is>
      </c>
      <c r="N57" s="10" t="inlineStr">
        <is>
          <t>PDF pp8–12 Eq11–12,17–18, Assumption1, Propositions1/3 and Theorems3–4; p16 Algorithm1. A finite trusted solver global lower bound at the current raw dual must cover each unit. An incumbent or an ineligible status is insufficient. RMP-anchored node bound requires one-sided operational master-budget replay, reserve-sign conditions, context/pool/deadline matches and downward rounding. Phase-I infeasibility requires corrected artificial lower bound strictly above epsilon_I; otherwise unresolved.</t>
        </is>
      </c>
      <c r="O57" s="10" t="inlineStr"/>
      <c r="P57" s="12" t="inlineStr"/>
      <c r="Q57" s="12" t="inlineStr"/>
      <c r="R57" s="12" t="inlineStr"/>
      <c r="S57" s="12" t="str">
        <v>需改</v>
      </c>
      <c r="T57" s="12" t="inlineStr"/>
      <c r="U57" s="12" t="str">
        <v>无法判断</v>
      </c>
      <c r="V57" s="12" t="str">
        <v>D075 次层：NONE
D106 证据范围：未确定。原值只作历史记录，暂不覆盖源文件。</v>
      </c>
      <c r="W57" s="12" t="str">
        <v>D075 PDF 10–14;16;19–22；Assumption1;Proposition1;Algorithm1;§6.2
D106 PDF 10–14;16;19–22；Assumption1;Proposition1;Algorithm1;§6.2</v>
      </c>
      <c r="X57" s="12" t="str">
        <v>已确认字段已用于新版稿件。未确定字段保留原值并在稿件标 †。原文核验由 Codex 完成；本次记录作者裁决，不代表独立人工复核。</v>
      </c>
      <c r="Y57" s="12" t="str">
        <v>Codex（依据作者裁决）</v>
      </c>
      <c r="Z57" s="12" t="str">
        <v>2026-10-15</v>
      </c>
    </row>
    <row r="58">
      <c r="A58" s="9" t="inlineStr">
        <is>
          <t>必核</t>
        </is>
      </c>
      <c r="B58" s="10" t="n">
        <v>133</v>
      </c>
      <c r="C58" s="10" t="inlineStr">
        <is>
          <t>S102-M3</t>
        </is>
      </c>
      <c r="D58" s="10" t="inlineStr">
        <is>
          <t>完整树评估（S2）</t>
        </is>
      </c>
      <c r="E58" s="10" t="inlineStr">
        <is>
          <t>Zhang et al., 2026</t>
        </is>
      </c>
      <c r="F58" s="10" t="inlineStr">
        <is>
          <t>传统</t>
        </is>
      </c>
      <c r="G58" s="10" t="inlineStr">
        <is>
          <t>Complete-sweep CSDW stabilized/partial proposals with all-unit true-dual exact recovery, earlier separate campaigns</t>
        </is>
      </c>
      <c r="H58" s="10" t="inlineStr">
        <is>
          <t>L2</t>
        </is>
      </c>
      <c r="I58" s="10" t="inlineStr">
        <is>
          <t>L3|L6</t>
        </is>
      </c>
      <c r="J58" s="10" t="inlineStr">
        <is>
          <t>G2</t>
        </is>
      </c>
      <c r="K58" s="10" t="inlineStr">
        <is>
          <t>E2|E4</t>
        </is>
      </c>
      <c r="L58" s="10" t="inlineStr">
        <is>
          <t>02_参考文献/论文全文/CL002_Zhang_2026.pdf</t>
        </is>
      </c>
      <c r="M58" s="10" t="inlineStr">
        <is>
          <t>PDF pp23–24 §6.4 Table3 Figure3 || PDF pp23–24 §6.4 Figure3;pp18–19 protocol || PDF pp24–25 §6.5 Tables4–5 Figure4 || PDF pp17–19 four-methoddesign;pp26–27 §6.6 Figure5 Table6;pages26–27visuallychecked || PDF p27 §6.6 Figure5/Table6;pp18–19inferentialdesign</t>
        </is>
      </c>
      <c r="N58" s="10" t="inlineStr">
        <is>
          <t>PDF pp8,15–18 and24–27: proposals cannot terminate node pricing; all units ultimately need exact current-dual lower-bound coverage under the operational numerical contract. Equation17 corrects RMP objective by per-unit pricing tolerance and accepted master budget. Current-node feasible pool filtering is required; full-tree statements remain conditional on Theorem4.</t>
        </is>
      </c>
      <c r="O58" s="10" t="inlineStr"/>
      <c r="P58" s="12" t="inlineStr"/>
      <c r="Q58" s="12" t="inlineStr"/>
      <c r="R58" s="12" t="inlineStr"/>
      <c r="S58" s="12" t="inlineStr"/>
      <c r="T58" s="12" t="inlineStr"/>
      <c r="U58" s="12" t="inlineStr"/>
      <c r="V58" s="12" t="inlineStr"/>
      <c r="W58" s="12" t="inlineStr"/>
      <c r="X58" s="12" t="inlineStr"/>
      <c r="Y58" s="12" t="inlineStr"/>
      <c r="Z58" s="12" t="inlineStr"/>
    </row>
    <row r="59">
      <c r="A59" s="9" t="inlineStr">
        <is>
          <t>必核</t>
        </is>
      </c>
      <c r="B59" s="10" t="n">
        <v>136</v>
      </c>
      <c r="C59" s="10" t="inlineStr">
        <is>
          <t>S103-M3</t>
        </is>
      </c>
      <c r="D59" s="10" t="inlineStr">
        <is>
          <t>只有研究族级证据，需补本变体页码</t>
        </is>
      </c>
      <c r="E59" s="10" t="inlineStr">
        <is>
          <t>Chen et al., 2026</t>
        </is>
      </c>
      <c r="F59" s="10" t="inlineStr">
        <is>
          <t>传统</t>
        </is>
      </c>
      <c r="G59" s="10" t="inlineStr">
        <is>
          <t>BAC2: standalone Model 1 plus GCS</t>
        </is>
      </c>
      <c r="H59" s="10" t="inlineStr">
        <is>
          <t>L4</t>
        </is>
      </c>
      <c r="I59" s="10" t="inlineStr">
        <is>
          <t>NONE</t>
        </is>
      </c>
      <c r="J59" s="10" t="inlineStr">
        <is>
          <t>G4</t>
        </is>
      </c>
      <c r="K59" s="10" t="inlineStr">
        <is>
          <t>E1</t>
        </is>
      </c>
      <c r="L59" s="10" t="inlineStr">
        <is>
          <t>02_参考文献/论文全文/CL014_Chen_2026.pdf</t>
        </is>
      </c>
      <c r="M59" s="10" t="inlineStr"/>
      <c r="N59" s="10" t="inlineStr">
        <is>
          <t>Same integer problem with valid cuts; no full cut separation necessary for model correctness</t>
        </is>
      </c>
      <c r="O59" s="10" t="inlineStr">
        <is>
          <t>No direct method_id join; family evidence and method description require variant-specific allocation.</t>
        </is>
      </c>
      <c r="P59" s="12" t="inlineStr"/>
      <c r="Q59" s="12" t="inlineStr"/>
      <c r="R59" s="12" t="inlineStr"/>
      <c r="S59" s="12" t="inlineStr"/>
      <c r="T59" s="12" t="inlineStr"/>
      <c r="U59" s="12" t="inlineStr"/>
      <c r="V59" s="12" t="inlineStr"/>
      <c r="W59" s="12" t="inlineStr"/>
      <c r="X59" s="12" t="inlineStr"/>
      <c r="Y59" s="12" t="inlineStr"/>
      <c r="Z59" s="12" t="inlineStr"/>
    </row>
    <row r="60" ht="60" customHeight="1">
      <c r="A60" s="9" t="inlineStr">
        <is>
          <t>必核</t>
        </is>
      </c>
      <c r="B60" s="10" t="n">
        <v>139</v>
      </c>
      <c r="C60" s="10" t="inlineStr">
        <is>
          <t>S105-M1</t>
        </is>
      </c>
      <c r="D60" s="10" t="inlineStr">
        <is>
          <t>S105：新增逐页证据</t>
        </is>
      </c>
      <c r="E60" s="10" t="inlineStr">
        <is>
          <t>Sadykov et al., 2019</t>
        </is>
      </c>
      <c r="F60" s="10" t="inlineStr">
        <is>
          <t>传统</t>
        </is>
      </c>
      <c r="G60" s="10" t="inlineStr">
        <is>
          <t>Pure diving</t>
        </is>
      </c>
      <c r="H60" s="10" t="inlineStr">
        <is>
          <t>L1</t>
        </is>
      </c>
      <c r="I60" s="10" t="inlineStr">
        <is>
          <t>L4</t>
        </is>
      </c>
      <c r="J60" s="10" t="inlineStr">
        <is>
          <t>G5</t>
        </is>
      </c>
      <c r="K60" s="10" t="inlineStr">
        <is>
          <t>E3</t>
        </is>
      </c>
      <c r="L60" s="10" t="inlineStr">
        <is>
          <t>90_过程归档/大修_v1.5/fulltext/Sadykov/PDFs/Primal_Heuristics_for_Branch_and_Price.pdf</t>
        </is>
      </c>
      <c r="M60" s="10" t="inlineStr"/>
      <c r="N60" s="10" t="inlineStr"/>
      <c r="O60" s="10" t="inlineStr">
        <is>
          <t>New family absent from legacy release_1_2 evidence.csv; all eight variants now have page locators in data/evidence_s105_v1_7.csv.</t>
        </is>
      </c>
      <c r="P60" s="12" t="inlineStr"/>
      <c r="Q60" s="12" t="inlineStr"/>
      <c r="R60" s="12" t="inlineStr"/>
      <c r="S60" s="12" t="str">
        <v>需改</v>
      </c>
      <c r="T60" s="12" t="inlineStr"/>
      <c r="U60" s="12" t="inlineStr"/>
      <c r="V60" s="12" t="str">
        <v>D018 次层：L6</v>
      </c>
      <c r="W60" s="12" t="str">
        <v>D018 PDF 13–14;22–24;28–30；§5.1;Table1;§6;Tables5,8,9</v>
      </c>
      <c r="X60" s="12" t="str">
        <v>已确认字段已用于新版稿件。未确定字段保留原值并在稿件标 †。原文核验由 Codex 完成；本次记录作者裁决，不代表独立人工复核。</v>
      </c>
      <c r="Y60" s="12" t="str">
        <v>Codex（依据作者裁决）</v>
      </c>
      <c r="Z60" s="12" t="str">
        <v>2026-10-15</v>
      </c>
    </row>
    <row r="61">
      <c r="A61" s="9" t="inlineStr">
        <is>
          <t>必核</t>
        </is>
      </c>
      <c r="B61" s="10" t="n">
        <v>142</v>
      </c>
      <c r="C61" s="10" t="inlineStr">
        <is>
          <t>S105-M4</t>
        </is>
      </c>
      <c r="D61" s="10" t="inlineStr">
        <is>
          <t>S105：新增逐页证据</t>
        </is>
      </c>
      <c r="E61" s="10" t="inlineStr">
        <is>
          <t>Sadykov et al., 2019</t>
        </is>
      </c>
      <c r="F61" s="10" t="inlineStr">
        <is>
          <t>传统</t>
        </is>
      </c>
      <c r="G61" s="10" t="inlineStr">
        <is>
          <t>Local branching after a feasible dive</t>
        </is>
      </c>
      <c r="H61" s="10" t="inlineStr">
        <is>
          <t>L1</t>
        </is>
      </c>
      <c r="I61" s="10" t="inlineStr">
        <is>
          <t>L6</t>
        </is>
      </c>
      <c r="J61" s="10" t="inlineStr">
        <is>
          <t>G5</t>
        </is>
      </c>
      <c r="K61" s="10" t="inlineStr">
        <is>
          <t>E3</t>
        </is>
      </c>
      <c r="L61" s="10" t="inlineStr">
        <is>
          <t>90_过程归档/大修_v1.5/fulltext/Sadykov/PDFs/Primal_Heuristics_for_Branch_and_Price.pdf</t>
        </is>
      </c>
      <c r="M61" s="10" t="inlineStr"/>
      <c r="N61" s="10" t="inlineStr"/>
      <c r="O61" s="10" t="inlineStr">
        <is>
          <t>New family absent from legacy release_1_2 evidence.csv; all eight variants now have page locators in data/evidence_s105_v1_7.csv.</t>
        </is>
      </c>
      <c r="P61" s="12" t="inlineStr"/>
      <c r="Q61" s="12" t="inlineStr"/>
      <c r="R61" s="12" t="inlineStr"/>
      <c r="S61" s="12" t="inlineStr"/>
      <c r="T61" s="12" t="inlineStr"/>
      <c r="U61" s="12" t="inlineStr"/>
      <c r="V61" s="12" t="inlineStr"/>
      <c r="W61" s="12" t="inlineStr"/>
      <c r="X61" s="12" t="inlineStr"/>
      <c r="Y61" s="12" t="inlineStr"/>
      <c r="Z61" s="12" t="inlineStr"/>
    </row>
    <row r="62" ht="60" customHeight="1">
      <c r="A62" s="9" t="inlineStr">
        <is>
          <t>必核</t>
        </is>
      </c>
      <c r="B62" s="10" t="n">
        <v>143</v>
      </c>
      <c r="C62" s="10" t="inlineStr">
        <is>
          <t>S105-M5</t>
        </is>
      </c>
      <c r="D62" s="10" t="inlineStr">
        <is>
          <t>S105：新增逐页证据</t>
        </is>
      </c>
      <c r="E62" s="10" t="inlineStr">
        <is>
          <t>Sadykov et al., 2019</t>
        </is>
      </c>
      <c r="F62" s="10" t="inlineStr">
        <is>
          <t>传统</t>
        </is>
      </c>
      <c r="G62" s="10" t="inlineStr">
        <is>
          <t>Diving with limited discrepancy search</t>
        </is>
      </c>
      <c r="H62" s="10" t="inlineStr">
        <is>
          <t>L1</t>
        </is>
      </c>
      <c r="I62" s="10" t="inlineStr">
        <is>
          <t>L4</t>
        </is>
      </c>
      <c r="J62" s="10" t="inlineStr">
        <is>
          <t>G5</t>
        </is>
      </c>
      <c r="K62" s="10" t="inlineStr">
        <is>
          <t>E3</t>
        </is>
      </c>
      <c r="L62" s="10" t="inlineStr">
        <is>
          <t>90_过程归档/大修_v1.5/fulltext/Sadykov/PDFs/Primal_Heuristics_for_Branch_and_Price.pdf</t>
        </is>
      </c>
      <c r="M62" s="10" t="inlineStr"/>
      <c r="N62" s="10" t="inlineStr"/>
      <c r="O62" s="10" t="inlineStr">
        <is>
          <t>New family absent from legacy release_1_2 evidence.csv; all eight variants now have page locators in data/evidence_s105_v1_7.csv.</t>
        </is>
      </c>
      <c r="P62" s="12" t="inlineStr"/>
      <c r="Q62" s="12" t="inlineStr"/>
      <c r="R62" s="12" t="inlineStr"/>
      <c r="S62" s="12" t="str">
        <v>需改</v>
      </c>
      <c r="T62" s="12" t="inlineStr"/>
      <c r="U62" s="12" t="inlineStr"/>
      <c r="V62" s="12" t="str">
        <v>D021 次层：L6</v>
      </c>
      <c r="W62" s="12" t="str">
        <v>D021 PDF 15–16;22–24;28–30；§5.2;Table2;Fig.2(a);§6;Tables5,8,9</v>
      </c>
      <c r="X62" s="12" t="str">
        <v>已确认字段已用于新版稿件。未确定字段保留原值并在稿件标 †。原文核验由 Codex 完成；本次记录作者裁决，不代表独立人工复核。</v>
      </c>
      <c r="Y62" s="12" t="str">
        <v>Codex（依据作者裁决）</v>
      </c>
      <c r="Z62" s="12" t="str">
        <v>2026-10-15</v>
      </c>
    </row>
    <row r="63" ht="60" customHeight="1">
      <c r="A63" s="9" t="inlineStr">
        <is>
          <t>必核</t>
        </is>
      </c>
      <c r="B63" s="10" t="n">
        <v>145</v>
      </c>
      <c r="C63" s="10" t="inlineStr">
        <is>
          <t>S105-M7</t>
        </is>
      </c>
      <c r="D63" s="10" t="inlineStr">
        <is>
          <t>S105：新增逐页证据</t>
        </is>
      </c>
      <c r="E63" s="10" t="inlineStr">
        <is>
          <t>Sadykov et al., 2019</t>
        </is>
      </c>
      <c r="F63" s="10" t="inlineStr">
        <is>
          <t>传统</t>
        </is>
      </c>
      <c r="G63" s="10" t="inlineStr">
        <is>
          <t>Restricted-master integer heuristic comparator</t>
        </is>
      </c>
      <c r="H63" s="10" t="inlineStr">
        <is>
          <t>L6</t>
        </is>
      </c>
      <c r="I63" s="10" t="inlineStr">
        <is>
          <t>NONE</t>
        </is>
      </c>
      <c r="J63" s="10" t="inlineStr">
        <is>
          <t>G5</t>
        </is>
      </c>
      <c r="K63" s="10" t="inlineStr">
        <is>
          <t>E3</t>
        </is>
      </c>
      <c r="L63" s="10" t="inlineStr">
        <is>
          <t>90_过程归档/大修_v1.5/fulltext/Sadykov/PDFs/Primal_Heuristics_for_Branch_and_Price.pdf</t>
        </is>
      </c>
      <c r="M63" s="10" t="inlineStr"/>
      <c r="N63" s="10" t="inlineStr"/>
      <c r="O63" s="10" t="inlineStr">
        <is>
          <t>New family absent from legacy release_1_2 evidence.csv; all eight variants now have page locators in data/evidence_s105_v1_7.csv.</t>
        </is>
      </c>
      <c r="P63" s="12" t="inlineStr"/>
      <c r="Q63" s="12" t="inlineStr"/>
      <c r="R63" s="12" t="inlineStr"/>
      <c r="S63" s="12" t="inlineStr"/>
      <c r="T63" s="12" t="inlineStr"/>
      <c r="U63" s="12" t="str">
        <v>需改</v>
      </c>
      <c r="V63" s="12" t="str">
        <v>D005 证据范围：E2</v>
      </c>
      <c r="W63" s="12" t="str">
        <v>D005 PDF 19;22–24;28–30；§5.5;§6;Tables5,8,9</v>
      </c>
      <c r="X63" s="12" t="str">
        <v>已确认字段已用于新版稿件。未确定字段保留原值并在稿件标 †。原文核验由 Codex 完成；本次记录作者裁决，不代表独立人工复核。</v>
      </c>
      <c r="Y63" s="12" t="str">
        <v>Codex（依据作者裁决）</v>
      </c>
      <c r="Z63" s="12" t="str">
        <v>2026-10-15</v>
      </c>
    </row>
    <row r="64">
      <c r="A64" s="9" t="inlineStr">
        <is>
          <t>必核</t>
        </is>
      </c>
      <c r="B64" s="10" t="n">
        <v>146</v>
      </c>
      <c r="C64" s="10" t="inlineStr">
        <is>
          <t>S105-M8</t>
        </is>
      </c>
      <c r="D64" s="10" t="inlineStr">
        <is>
          <t>S105：新增逐页证据</t>
        </is>
      </c>
      <c r="E64" s="10" t="inlineStr">
        <is>
          <t>Sadykov et al., 2019</t>
        </is>
      </c>
      <c r="F64" s="10" t="inlineStr">
        <is>
          <t>传统</t>
        </is>
      </c>
      <c r="G64" s="10" t="inlineStr">
        <is>
          <t>Diving followed by sub-MIPing</t>
        </is>
      </c>
      <c r="H64" s="10" t="inlineStr">
        <is>
          <t>L1</t>
        </is>
      </c>
      <c r="I64" s="10" t="inlineStr">
        <is>
          <t>L6</t>
        </is>
      </c>
      <c r="J64" s="10" t="inlineStr">
        <is>
          <t>G5</t>
        </is>
      </c>
      <c r="K64" s="10" t="inlineStr">
        <is>
          <t>E3</t>
        </is>
      </c>
      <c r="L64" s="10" t="inlineStr">
        <is>
          <t>90_过程归档/大修_v1.5/fulltext/Sadykov/PDFs/Primal_Heuristics_for_Branch_and_Price.pdf</t>
        </is>
      </c>
      <c r="M64" s="10" t="inlineStr"/>
      <c r="N64" s="10" t="inlineStr"/>
      <c r="O64" s="10" t="inlineStr">
        <is>
          <t>New family absent from legacy release_1_2 evidence.csv; all eight variants now have page locators in data/evidence_s105_v1_7.csv.</t>
        </is>
      </c>
      <c r="P64" s="12" t="inlineStr"/>
      <c r="Q64" s="12" t="inlineStr"/>
      <c r="R64" s="12" t="inlineStr"/>
      <c r="S64" s="12" t="inlineStr"/>
      <c r="T64" s="12" t="inlineStr"/>
      <c r="U64" s="12" t="inlineStr"/>
      <c r="V64" s="12" t="inlineStr"/>
      <c r="W64" s="12" t="inlineStr"/>
      <c r="X64" s="12" t="inlineStr"/>
      <c r="Y64" s="12" t="inlineStr"/>
      <c r="Z64" s="12" t="inlineStr"/>
    </row>
    <row r="65" ht="62" customHeight="1">
      <c r="A65" s="13" t="inlineStr">
        <is>
          <t>建议核</t>
        </is>
      </c>
      <c r="B65" s="10" t="n">
        <v>1</v>
      </c>
      <c r="C65" s="10" t="inlineStr">
        <is>
          <t>S016-M1</t>
        </is>
      </c>
      <c r="D65" s="10" t="inlineStr"/>
      <c r="E65" s="10" t="inlineStr">
        <is>
          <t>Righini and Salani, 2008</t>
        </is>
      </c>
      <c r="F65" s="10" t="inlineStr">
        <is>
          <t>传统</t>
        </is>
      </c>
      <c r="G65" s="10" t="inlineStr">
        <is>
          <t>DSSR; exact bidirectional DP; relaxed DP plus inner branch-and-bound</t>
        </is>
      </c>
      <c r="H65" s="10" t="inlineStr">
        <is>
          <t>L4</t>
        </is>
      </c>
      <c r="I65" s="10" t="inlineStr">
        <is>
          <t>L5</t>
        </is>
      </c>
      <c r="J65" s="10" t="inlineStr">
        <is>
          <t>G4</t>
        </is>
      </c>
      <c r="K65" s="10" t="inlineStr">
        <is>
          <t>E1</t>
        </is>
      </c>
      <c r="L65" s="10" t="inlineStr">
        <is>
          <t>02_参考文献/论文全文/S016_Righini_2008.pdf</t>
        </is>
      </c>
      <c r="M65" s="10" t="inlineStr">
        <is>
          <t>PDF pp7,10–11; Algorithm3; §7; printed161,164–165 || PDF p4 §3; printed158; PDF pp5–8 §§4–5 || PDF pp11–12 §8; printed165–166 || PDF p13 Table6 row c104_100; printed167 || PDF p13 Table6 row r102_100; printed167 || PDF pp14–15 §§8.4–9;printed168–169</t>
        </is>
      </c>
      <c r="N65" s="10" t="inlineStr">
        <is>
          <t>§7 PDF pp10–11 / printed164–165: repeated vertices added to critical set until optimal relaxed path is elementary. §§3–5 PDF pp3–8 give dominance, monotone critical resource, feasible joins and lower-bound relaxation conditions.</t>
        </is>
      </c>
      <c r="O65" s="10" t="inlineStr"/>
      <c r="P65" s="12" t="inlineStr"/>
      <c r="Q65" s="12" t="str">
        <v>无法判断</v>
      </c>
      <c r="R65" s="12" t="str">
        <v>无法判断</v>
      </c>
      <c r="S65" s="12" t="str">
        <v>无法判断</v>
      </c>
      <c r="T65" s="12" t="str">
        <v>无法判断</v>
      </c>
      <c r="U65" s="12" t="inlineStr"/>
      <c r="V65" s="12" t="str">
        <v>D078 变体描述；主层；次层；主机制：未确定。原值只作历史记录，暂不覆盖源文件。</v>
      </c>
      <c r="W65" s="12" t="str">
        <v>D078 PDF 5–7、10–15；摘录第1–3段为 p.15 §9。第4段为 p.11 §7。第5段为 p.5 §4.2。另核看 p.7 Algorithm 3、pp.10–11 §7、pp.11–14 §8 与 Tables 3–8。</v>
      </c>
      <c r="X65" s="12" t="str">
        <v>已确认字段已用于新版稿件。未确定字段保留原值并在稿件标 †。原文核验由 Codex 完成；本次记录作者裁决，不代表独立人工复核。</v>
      </c>
      <c r="Y65" s="12" t="str">
        <v>Codex（依据作者裁决）</v>
      </c>
      <c r="Z65" s="12" t="str">
        <v>2026-10-15</v>
      </c>
    </row>
    <row r="66">
      <c r="A66" s="13" t="inlineStr">
        <is>
          <t>建议核</t>
        </is>
      </c>
      <c r="B66" s="10" t="n">
        <v>5</v>
      </c>
      <c r="C66" s="10" t="inlineStr">
        <is>
          <t>S018-M1</t>
        </is>
      </c>
      <c r="D66" s="10" t="inlineStr"/>
      <c r="E66" s="10" t="inlineStr">
        <is>
          <t>Pessoa et al., 2018</t>
        </is>
      </c>
      <c r="F66" s="10" t="inlineStr">
        <is>
          <t>传统</t>
        </is>
      </c>
      <c r="G66" s="10" t="inlineStr">
        <is>
          <t>Automatic dual-price smoothing; directional smoothing; piecewise-linear penalty stabilization; combinations</t>
        </is>
      </c>
      <c r="H66" s="10" t="inlineStr">
        <is>
          <t>L2</t>
        </is>
      </c>
      <c r="I66" s="10" t="inlineStr">
        <is>
          <t>L3</t>
        </is>
      </c>
      <c r="J66" s="10" t="inlineStr">
        <is>
          <t>G4</t>
        </is>
      </c>
      <c r="K66" s="10" t="inlineStr">
        <is>
          <t>E2</t>
        </is>
      </c>
      <c r="L66" s="10" t="inlineStr">
        <is>
          <t>02_参考文献/论文全文/S018_Pessoa_2018.pdf</t>
        </is>
      </c>
      <c r="M66" s="10" t="inlineStr">
        <is>
          <t>PDF pp6–10, §§2–4, Table1; printed343–347 || PDF p6 Observation1(v); pp11–12 Observation2; §6 || PDF p9 §4 Proposition2 and proof; printed346 || PDF pp13–15 §7; printed350–352 || PDF p16 Table3; printed353 || PDF p17 Table4 and p18 discussion; printed354–355 || PDF p19 Table5; §9, printed356 || PDF pp21–22 Table7; printed358–359</t>
        </is>
      </c>
      <c r="N66" s="10" t="inlineStr">
        <is>
          <t>PDF pp9–10 Table1: mispricing schedule alpha_tilde=max(0,1-k(1-alpha)) reaches zero finitely, restoring pricing at RMP dual. PDF p6 Observation1 and pp11–12 Observation2: valid Lagrangian bound, original-master feasibility and exact pricing required. PDF p9 Proposition2 proof's arbitrary alpha&lt;1 infinite-product step needs stronger condition.</t>
        </is>
      </c>
      <c r="O66" s="10" t="inlineStr"/>
      <c r="P66" s="12" t="inlineStr"/>
      <c r="Q66" s="12" t="inlineStr"/>
      <c r="R66" s="12" t="inlineStr"/>
      <c r="S66" s="12" t="inlineStr"/>
      <c r="T66" s="12" t="inlineStr"/>
      <c r="U66" s="12" t="inlineStr"/>
      <c r="V66" s="12" t="inlineStr"/>
      <c r="W66" s="12" t="inlineStr"/>
      <c r="X66" s="12" t="inlineStr"/>
      <c r="Y66" s="12" t="inlineStr"/>
      <c r="Z66" s="12" t="inlineStr"/>
    </row>
    <row r="67">
      <c r="A67" s="13" t="inlineStr">
        <is>
          <t>建议核</t>
        </is>
      </c>
      <c r="B67" s="10" t="n">
        <v>18</v>
      </c>
      <c r="C67" s="10" t="inlineStr">
        <is>
          <t>S024-M1</t>
        </is>
      </c>
      <c r="D67" s="10" t="inlineStr"/>
      <c r="E67" s="10" t="inlineStr">
        <is>
          <t>Ben Amor et al., 2006</t>
        </is>
      </c>
      <c r="F67" s="10" t="inlineStr">
        <is>
          <t>传统</t>
        </is>
      </c>
      <c r="G67" s="10" t="inlineStr">
        <is>
          <t>Dual-optimal and deep dual-optimal inequalities, with primal recovery</t>
        </is>
      </c>
      <c r="H67" s="10" t="inlineStr">
        <is>
          <t>L2</t>
        </is>
      </c>
      <c r="I67" s="10" t="inlineStr">
        <is>
          <t>L4|L6</t>
        </is>
      </c>
      <c r="J67" s="10" t="inlineStr">
        <is>
          <t>G4</t>
        </is>
      </c>
      <c r="K67" s="10" t="inlineStr">
        <is>
          <t>E2</t>
        </is>
      </c>
      <c r="L67" s="10" t="inlineStr">
        <is>
          <t>02_参考文献/论文全文/S024_Amor_2006.pdf</t>
        </is>
      </c>
      <c r="M67" s="10" t="inlineStr">
        <is>
          <t>PDFpp3–5§§2–3,Propositions1–5;printed455–457 || PDFpp5–8§§4–5,Propositions6–7;printed457–460 || PDFp6§4computationalresults;pp8–9§5;printed458,460–461 || PDFp9§5andTable2;printed461 || PDFp10Table3and§6;printed462;tablevisuallychecked</t>
        </is>
      </c>
      <c r="N67" s="10" t="inlineStr">
        <is>
          <t>PDFpp3–5Propositions1–5: preserve at leastone dualoptimum; original primal solution requires Ey=0 or constructive recovery. DOI(alloptima) permits epsilon-relaxation recovery; deepDOI needs knownoptimaldual then strict-containing box(secondphase).</t>
        </is>
      </c>
      <c r="O67" s="10" t="inlineStr"/>
      <c r="P67" s="12" t="inlineStr"/>
      <c r="Q67" s="12" t="inlineStr"/>
      <c r="R67" s="12" t="inlineStr"/>
      <c r="S67" s="12" t="inlineStr"/>
      <c r="T67" s="12" t="inlineStr"/>
      <c r="U67" s="12" t="inlineStr"/>
      <c r="V67" s="12" t="inlineStr"/>
      <c r="W67" s="12" t="inlineStr"/>
      <c r="X67" s="12" t="inlineStr"/>
      <c r="Y67" s="12" t="inlineStr"/>
      <c r="Z67" s="12" t="inlineStr"/>
    </row>
    <row r="68">
      <c r="A68" s="13" t="inlineStr">
        <is>
          <t>建议核</t>
        </is>
      </c>
      <c r="B68" s="10" t="n">
        <v>19</v>
      </c>
      <c r="C68" s="10" t="inlineStr">
        <is>
          <t>S025-M1</t>
        </is>
      </c>
      <c r="D68" s="10" t="inlineStr"/>
      <c r="E68" s="10" t="inlineStr">
        <is>
          <t>Rousseau et al., 2007</t>
        </is>
      </c>
      <c r="F68" s="10" t="inlineStr">
        <is>
          <t>传统</t>
        </is>
      </c>
      <c r="G68" s="10" t="inlineStr">
        <is>
          <t>Average sampled extreme optimal dual solutions</t>
        </is>
      </c>
      <c r="H68" s="10" t="inlineStr">
        <is>
          <t>L2</t>
        </is>
      </c>
      <c r="I68" s="10" t="inlineStr">
        <is>
          <t>L3</t>
        </is>
      </c>
      <c r="J68" s="10" t="inlineStr">
        <is>
          <t>G4</t>
        </is>
      </c>
      <c r="K68" s="10" t="inlineStr">
        <is>
          <t>E2</t>
        </is>
      </c>
      <c r="L68" s="10" t="inlineStr">
        <is>
          <t>02_参考文献/论文全文/S025_Rousseau_2007.pdf</t>
        </is>
      </c>
      <c r="M68" s="10" t="inlineStr">
        <is>
          <t>PDFpp4–5§3.1–3.2;printed663–664;eq12–25 || PDFpp5–7§3.3,4.2,4.2.3;printed664–666 || PDFpp6–7§4.2;printed665–666 || PDFp8Tables1–2;printed667</t>
        </is>
      </c>
      <c r="N68" s="10" t="inlineStr">
        <is>
          <t>PDFpp4–5§3.1–3.2: convexcombination stays inoptimaldualface; standard exactpricing absenceofnegativecolumn certifies LP. Averaging doesnot necessarily produce strictinteriorofentireface. Pricing500columncap onlyearlystops successfulgeneration,not proofbyheuristicfailure.</t>
        </is>
      </c>
      <c r="O68" s="10" t="inlineStr"/>
      <c r="P68" s="12" t="inlineStr"/>
      <c r="Q68" s="12" t="inlineStr"/>
      <c r="R68" s="12" t="inlineStr"/>
      <c r="S68" s="12" t="inlineStr"/>
      <c r="T68" s="12" t="inlineStr"/>
      <c r="U68" s="12" t="inlineStr"/>
      <c r="V68" s="12" t="inlineStr"/>
      <c r="W68" s="12" t="inlineStr"/>
      <c r="X68" s="12" t="inlineStr"/>
      <c r="Y68" s="12" t="inlineStr"/>
      <c r="Z68" s="12" t="inlineStr"/>
    </row>
    <row r="69">
      <c r="A69" s="13" t="inlineStr">
        <is>
          <t>建议核</t>
        </is>
      </c>
      <c r="B69" s="10" t="n">
        <v>20</v>
      </c>
      <c r="C69" s="10" t="inlineStr">
        <is>
          <t>S026-M1</t>
        </is>
      </c>
      <c r="D69" s="10" t="inlineStr"/>
      <c r="E69" s="10" t="inlineStr">
        <is>
          <t>Feillet et al., 2004</t>
        </is>
      </c>
      <c r="F69" s="10" t="inlineStr">
        <is>
          <t>传统</t>
        </is>
      </c>
      <c r="G69" s="10" t="inlineStr">
        <is>
          <t>Elementary label correcting with unreachable-node dominance</t>
        </is>
      </c>
      <c r="H69" s="10" t="inlineStr">
        <is>
          <t>L4</t>
        </is>
      </c>
      <c r="I69" s="10" t="inlineStr">
        <is>
          <t>L5</t>
        </is>
      </c>
      <c r="J69" s="10" t="inlineStr">
        <is>
          <t>G3</t>
        </is>
      </c>
      <c r="K69" s="10" t="inlineStr">
        <is>
          <t>E1|E2</t>
        </is>
      </c>
      <c r="L69" s="10" t="inlineStr">
        <is>
          <t>02_参考文献/论文全文/S026_Feillet_2004.pdf</t>
        </is>
      </c>
      <c r="M69" s="10" t="inlineStr">
        <is>
          <t>PDFpp2–5§§2–3;Definitions1–4andClaim1;printed217–220 || PDFpp7–8§5.1;printed222–223 || PDFp10§5.2;printed225 || PDFp12§5.2summary;Tables5–10pp8–11;printed227 || PDFp12paragraphintroducingTables11–13;pp12–13tables;printed227–228</t>
        </is>
      </c>
      <c r="N69" s="10" t="inlineStr">
        <is>
          <t>PDFpp2–5§§2–3,Claim1: nonnegative resourceconsumption,resource triangleinequality andmonotoneextension letdirectunreachability implyno futurepathreachability; dominance preserves every feasibleextension. ESPPRC full labelsearch finalcertificate.</t>
        </is>
      </c>
      <c r="O69" s="10" t="inlineStr"/>
      <c r="P69" s="12" t="inlineStr"/>
      <c r="Q69" s="12" t="inlineStr"/>
      <c r="R69" s="12" t="inlineStr"/>
      <c r="S69" s="12" t="inlineStr"/>
      <c r="T69" s="12" t="inlineStr"/>
      <c r="U69" s="12" t="inlineStr"/>
      <c r="V69" s="12" t="inlineStr"/>
      <c r="W69" s="12" t="inlineStr"/>
      <c r="X69" s="12" t="inlineStr"/>
      <c r="Y69" s="12" t="inlineStr"/>
      <c r="Z69" s="12" t="inlineStr"/>
    </row>
    <row r="70">
      <c r="A70" s="13" t="inlineStr">
        <is>
          <t>建议核</t>
        </is>
      </c>
      <c r="B70" s="10" t="n">
        <v>21</v>
      </c>
      <c r="C70" s="10" t="inlineStr">
        <is>
          <t>S027-M1</t>
        </is>
      </c>
      <c r="D70" s="10" t="inlineStr"/>
      <c r="E70" s="10" t="inlineStr">
        <is>
          <t>Baldacci et al., 2011</t>
        </is>
      </c>
      <c r="F70" s="10" t="inlineStr">
        <is>
          <t>传统</t>
        </is>
      </c>
      <c r="G70" s="10" t="inlineStr">
        <is>
          <t>ng-route relaxation; dual-ascent bounds; bound-filtered cached pricing; complete residual route enumeration</t>
        </is>
      </c>
      <c r="H70" s="10" t="inlineStr">
        <is>
          <t>L4</t>
        </is>
      </c>
      <c r="I70" s="10" t="inlineStr">
        <is>
          <t>L3|L5|L2|L6</t>
        </is>
      </c>
      <c r="J70" s="10" t="inlineStr">
        <is>
          <t>G4</t>
        </is>
      </c>
      <c r="K70" s="10" t="inlineStr">
        <is>
          <t>E2</t>
        </is>
      </c>
      <c r="L70" s="10" t="inlineStr">
        <is>
          <t>02_参考文献/论文全文/S027_Baldacci_2011.pdf</t>
        </is>
      </c>
      <c r="M70" s="10" t="inlineStr">
        <is>
          <t>Main PDF pp4–5 §2.3, eqs7–14; printed1272–1273</t>
        </is>
      </c>
      <c r="N70" s="10" t="inlineStr">
        <is>
          <t>PDF pp4–10 §§2.3–6: ng route superset gives lower bound; fathoming uses valid bound and incumbent gap; genr4 escalates route pool/path pools to fresh path generation; §3 Step5 and§6 require uncapped complete enumeration before final MIP optimum certifies original optimum.</t>
        </is>
      </c>
      <c r="O70" s="10" t="inlineStr"/>
      <c r="P70" s="12" t="inlineStr"/>
      <c r="Q70" s="12" t="inlineStr"/>
      <c r="R70" s="12" t="inlineStr"/>
      <c r="S70" s="12" t="inlineStr"/>
      <c r="T70" s="12" t="inlineStr"/>
      <c r="U70" s="12" t="inlineStr"/>
      <c r="V70" s="12" t="inlineStr"/>
      <c r="W70" s="12" t="inlineStr"/>
      <c r="X70" s="12" t="inlineStr"/>
      <c r="Y70" s="12" t="inlineStr"/>
      <c r="Z70" s="12" t="inlineStr"/>
    </row>
    <row r="71">
      <c r="A71" s="13" t="inlineStr">
        <is>
          <t>建议核</t>
        </is>
      </c>
      <c r="B71" s="10" t="n">
        <v>22</v>
      </c>
      <c r="C71" s="10" t="inlineStr">
        <is>
          <t>S027-M2</t>
        </is>
      </c>
      <c r="D71" s="10" t="inlineStr"/>
      <c r="E71" s="10" t="inlineStr">
        <is>
          <t>Baldacci et al., 2011</t>
        </is>
      </c>
      <c r="F71" s="10" t="inlineStr">
        <is>
          <t>传统</t>
        </is>
      </c>
      <c r="G71" s="10" t="inlineStr">
        <is>
          <t>ng-route relaxation; dual-ascent bounds; bound-filtered cached pricing; complete residual route enumeration</t>
        </is>
      </c>
      <c r="H71" s="10" t="inlineStr">
        <is>
          <t>L3</t>
        </is>
      </c>
      <c r="I71" s="10" t="inlineStr">
        <is>
          <t>L5|L2|L6</t>
        </is>
      </c>
      <c r="J71" s="10" t="inlineStr">
        <is>
          <t>G2</t>
        </is>
      </c>
      <c r="K71" s="10" t="inlineStr">
        <is>
          <t>E2</t>
        </is>
      </c>
      <c r="L71" s="10" t="inlineStr">
        <is>
          <t>02_参考文献/论文全文/S027_Baldacci_2011.pdf</t>
        </is>
      </c>
      <c r="M71" s="10" t="inlineStr">
        <is>
          <t>Main PDF pp8–10 §§5–6, genr4 Steps1–5, fathoming1–5; printed1276–1278 || Main PDF pp5–6 §3 Steps2–5 and p10 §6; printed1273–1274,1278 || Publisher e-companion PDF pp2–7, EC.1–EC.2; http://dx.doi.org/10.1287/opre.1110.0975ec || Main PDF p10 §7 and§7.1; p12 §7.2; printed1278,1280 || Main PDF p14 Table3 (visually checked), and p12 discussion; printed1282,1280 || Main PDF p14 Table4 (visually checked), pp12–13 discussion/Table2; printed1280–1282</t>
        </is>
      </c>
      <c r="N71" s="10" t="inlineStr">
        <is>
          <t>PDF pp4–10 §§2.3–6: ng route superset gives lower bound; fathoming uses valid bound and incumbent gap; genr4 escalates route pool/path pools to fresh path generation; §3 Step5 and§6 require uncapped complete enumeration before final MIP optimum certifies original optimum.</t>
        </is>
      </c>
      <c r="O71" s="10" t="inlineStr"/>
      <c r="P71" s="12" t="inlineStr"/>
      <c r="Q71" s="12" t="inlineStr"/>
      <c r="R71" s="12" t="inlineStr"/>
      <c r="S71" s="12" t="inlineStr"/>
      <c r="T71" s="12" t="inlineStr"/>
      <c r="U71" s="12" t="inlineStr"/>
      <c r="V71" s="12" t="inlineStr"/>
      <c r="W71" s="12" t="inlineStr"/>
      <c r="X71" s="12" t="inlineStr"/>
      <c r="Y71" s="12" t="inlineStr"/>
      <c r="Z71" s="12" t="inlineStr"/>
    </row>
    <row r="72" ht="60" customHeight="1">
      <c r="A72" s="13" t="inlineStr">
        <is>
          <t>建议核</t>
        </is>
      </c>
      <c r="B72" s="10" t="n">
        <v>24</v>
      </c>
      <c r="C72" s="10" t="inlineStr">
        <is>
          <t>S029-M1</t>
        </is>
      </c>
      <c r="D72" s="10" t="inlineStr"/>
      <c r="E72" s="10" t="inlineStr">
        <is>
          <t>Himmich et al., 2024</t>
        </is>
      </c>
      <c r="F72" s="10" t="inlineStr">
        <is>
          <t>传统</t>
        </is>
      </c>
      <c r="G72" s="10" t="inlineStr">
        <is>
          <t>Multiphase DP with nearest-first or best-first loading</t>
        </is>
      </c>
      <c r="H72" s="10" t="inlineStr">
        <is>
          <t>L5</t>
        </is>
      </c>
      <c r="I72" s="10" t="inlineStr">
        <is>
          <t>L4</t>
        </is>
      </c>
      <c r="J72" s="10" t="inlineStr">
        <is>
          <t>G1</t>
        </is>
      </c>
      <c r="K72" s="10" t="inlineStr">
        <is>
          <t>E1</t>
        </is>
      </c>
      <c r="L72" s="10" t="inlineStr">
        <is>
          <t>02_参考文献/论文全文/S029_Himmich_2024.pdf</t>
        </is>
      </c>
      <c r="M72" s="10" t="inlineStr">
        <is>
          <t>PDF pp.3–9, §§2–4, Algorithms 1–5, Propositions 1–6 || PDF pp.7–9, §§4.4–4.5, Propositions 4–5 || PDF pp.9–10, §5.1, Table 5.1 || PDF p.10, Tables 5.2 and 5.3 || PDF pp.10–11, §5.2 and Figure 5.3 || PDF pp.12–13, §§5.3 and 6; Appendix A</t>
        </is>
      </c>
      <c r="N72" s="10" t="inlineStr">
        <is>
          <t>PDF pp.5–9 §§4.1–4.5 Propositions 2–6: disjoint state partitions cover the path search and all stored labels are ultimately extended; optimality certified only on exhaustion. Dominance and incumbent bounds provide secondary G3 pruning under their conditions.</t>
        </is>
      </c>
      <c r="O72" s="10" t="inlineStr"/>
      <c r="P72" s="12" t="inlineStr"/>
      <c r="Q72" s="12" t="str">
        <v>无法判断</v>
      </c>
      <c r="R72" s="12" t="str">
        <v>无法判断</v>
      </c>
      <c r="S72" s="12" t="str">
        <v>无法判断</v>
      </c>
      <c r="T72" s="12" t="inlineStr"/>
      <c r="U72" s="12" t="inlineStr"/>
      <c r="V72" s="12" t="str">
        <v>D081 变体描述；主层；次层：未确定。原值只作历史记录，暂不覆盖源文件。</v>
      </c>
      <c r="W72" s="12" t="str">
        <v>D081 PDF 7–9、12–13；§4.4–4.5；Propositions 4–6；§5.1；§6</v>
      </c>
      <c r="X72" s="12" t="str">
        <v>已确认字段已用于新版稿件。未确定字段保留原值并在稿件标 †。原文核验由 Codex 完成；本次记录作者裁决，不代表独立人工复核。</v>
      </c>
      <c r="Y72" s="12" t="str">
        <v>Codex（依据作者裁决）</v>
      </c>
      <c r="Z72" s="12" t="str">
        <v>2026-10-15</v>
      </c>
    </row>
    <row r="73">
      <c r="A73" s="13" t="inlineStr">
        <is>
          <t>建议核</t>
        </is>
      </c>
      <c r="B73" s="10" t="n">
        <v>25</v>
      </c>
      <c r="C73" s="10" t="inlineStr">
        <is>
          <t>S030-M1</t>
        </is>
      </c>
      <c r="D73" s="10" t="inlineStr"/>
      <c r="E73" s="10" t="inlineStr">
        <is>
          <t>Salani et al., 2024</t>
        </is>
      </c>
      <c r="F73" s="10" t="inlineStr">
        <is>
          <t>传统</t>
        </is>
      </c>
      <c r="G73" s="10" t="inlineStr">
        <is>
          <t>PWDefault exact DSSR/DSSRC and ng-to-DSSRC hybrids</t>
        </is>
      </c>
      <c r="H73" s="10" t="inlineStr">
        <is>
          <t>L4</t>
        </is>
      </c>
      <c r="I73" s="10" t="inlineStr">
        <is>
          <t>L5</t>
        </is>
      </c>
      <c r="J73" s="10" t="inlineStr">
        <is>
          <t>G4</t>
        </is>
      </c>
      <c r="K73" s="10" t="inlineStr">
        <is>
          <t>E1</t>
        </is>
      </c>
      <c r="L73" s="10" t="inlineStr">
        <is>
          <t>02_参考文献/论文全文/S030_Salani_2024.pdf</t>
        </is>
      </c>
      <c r="M73" s="10" t="inlineStr">
        <is>
          <t>PDF pp.6–8, §3.1, Eqs.1–2 || PDF pp.15–16 §§4.1–4.2; p.24 AppendixA.1 || PDF pp.17–18 Table1 and discussion || PDF p.18 Table2 || PDF pp.19–20 Tables3–4</t>
        </is>
      </c>
      <c r="N73" s="10" t="inlineStr">
        <is>
          <t>PDF pp.6–8 §3.1: relaxation optimum bounds elementary optimum; DSSR/DSSRC and hybrids continue until elementary, while NG/NGC alone expressly do not guarantee elementarity. Safe dominance and compatible joining are inherited components. Custom resources/algorithms require correct user implementation.</t>
        </is>
      </c>
      <c r="O73" s="10" t="inlineStr"/>
      <c r="P73" s="12" t="inlineStr"/>
      <c r="Q73" s="12" t="inlineStr"/>
      <c r="R73" s="12" t="inlineStr"/>
      <c r="S73" s="12" t="inlineStr"/>
      <c r="T73" s="12" t="inlineStr"/>
      <c r="U73" s="12" t="inlineStr"/>
      <c r="V73" s="12" t="inlineStr"/>
      <c r="W73" s="12" t="inlineStr"/>
      <c r="X73" s="12" t="inlineStr"/>
      <c r="Y73" s="12" t="inlineStr"/>
      <c r="Z73" s="12" t="inlineStr"/>
    </row>
    <row r="74">
      <c r="A74" s="13" t="inlineStr">
        <is>
          <t>建议核</t>
        </is>
      </c>
      <c r="B74" s="10" t="n">
        <v>29</v>
      </c>
      <c r="C74" s="10" t="inlineStr">
        <is>
          <t>S032-M1</t>
        </is>
      </c>
      <c r="D74" s="10" t="inlineStr"/>
      <c r="E74" s="10" t="inlineStr">
        <is>
          <t>Bulaich Mehamdi et al., 2025</t>
        </is>
      </c>
      <c r="F74" s="10" t="inlineStr">
        <is>
          <t>传统</t>
        </is>
      </c>
      <c r="G74" s="10" t="inlineStr">
        <is>
          <t>Exact bound-based pricing-subproblem filtering (all/computed/add history policies)</t>
        </is>
      </c>
      <c r="H74" s="10" t="inlineStr">
        <is>
          <t>L3</t>
        </is>
      </c>
      <c r="I74" s="10" t="inlineStr">
        <is>
          <t>NONE</t>
        </is>
      </c>
      <c r="J74" s="10" t="inlineStr">
        <is>
          <t>G3</t>
        </is>
      </c>
      <c r="K74" s="10" t="inlineStr">
        <is>
          <t>E2</t>
        </is>
      </c>
      <c r="L74" s="10" t="inlineStr">
        <is>
          <t>02_参考文献/论文全文/S032_Mehamdi_2025.pdf</t>
        </is>
      </c>
      <c r="M74" s="10" t="inlineStr">
        <is>
          <t>PDFp2§3.1Proposition1;p3Algorithm1 || PDFpp3–4§4;p6GAdataset || PDFp5Table1;PDFp4discussion || PDFp6Tables3–4 anddiscussion</t>
        </is>
      </c>
      <c r="N74" s="10" t="inlineStr">
        <is>
          <t>PDFp2Proposition1 andp3Algorithm1: stored value mustbeexactminimum,notheuristiccost; YcontainsX anditsboundminimization isvalid. Skiponlynonnegative lowerbound. Heuristicfilter variantisG5;testedhybridrestorehadnospeedgain.</t>
        </is>
      </c>
      <c r="O74" s="10" t="inlineStr"/>
      <c r="P74" s="12" t="inlineStr"/>
      <c r="Q74" s="12" t="inlineStr"/>
      <c r="R74" s="12" t="inlineStr"/>
      <c r="S74" s="12" t="inlineStr"/>
      <c r="T74" s="12" t="inlineStr"/>
      <c r="U74" s="12" t="inlineStr"/>
      <c r="V74" s="12" t="inlineStr"/>
      <c r="W74" s="12" t="inlineStr"/>
      <c r="X74" s="12" t="inlineStr"/>
      <c r="Y74" s="12" t="inlineStr"/>
      <c r="Z74" s="12" t="inlineStr"/>
    </row>
    <row r="75">
      <c r="A75" s="13" t="inlineStr">
        <is>
          <t>建议核</t>
        </is>
      </c>
      <c r="B75" s="10" t="n">
        <v>30</v>
      </c>
      <c r="C75" s="10" t="inlineStr">
        <is>
          <t>S032-M2</t>
        </is>
      </c>
      <c r="D75" s="10" t="inlineStr"/>
      <c r="E75" s="10" t="inlineStr">
        <is>
          <t>Bulaich Mehamdi et al., 2025</t>
        </is>
      </c>
      <c r="F75" s="10" t="inlineStr">
        <is>
          <t>传统</t>
        </is>
      </c>
      <c r="G75" s="10" t="inlineStr">
        <is>
          <t>Heuristic filtering (all/computed/add)</t>
        </is>
      </c>
      <c r="H75" s="10" t="inlineStr">
        <is>
          <t>L3</t>
        </is>
      </c>
      <c r="I75" s="10" t="inlineStr">
        <is>
          <t>NONE</t>
        </is>
      </c>
      <c r="J75" s="10" t="inlineStr">
        <is>
          <t>G5</t>
        </is>
      </c>
      <c r="K75" s="10" t="inlineStr">
        <is>
          <t>E2</t>
        </is>
      </c>
      <c r="L75" s="10" t="inlineStr">
        <is>
          <t>02_参考文献/论文全文/S032_Mehamdi_2025.pdf</t>
        </is>
      </c>
      <c r="M75" s="10" t="inlineStr">
        <is>
          <t>PDFp3§3.2;PDFp7§5 || PDFp5Table2;PDFp4andtopofp5narrative</t>
        </is>
      </c>
      <c r="N75" s="10" t="inlineStr">
        <is>
          <t>PDFp3§3.2 explicitly destroysDWDexactness;noexactfallbackinreportedheuristicvariants. §5p7discusseshybridfallbackbutreportsnospeedup.</t>
        </is>
      </c>
      <c r="O75" s="10" t="inlineStr"/>
      <c r="P75" s="12" t="inlineStr"/>
      <c r="Q75" s="12" t="inlineStr"/>
      <c r="R75" s="12" t="inlineStr"/>
      <c r="S75" s="12" t="inlineStr"/>
      <c r="T75" s="12" t="inlineStr"/>
      <c r="U75" s="12" t="inlineStr"/>
      <c r="V75" s="12" t="inlineStr"/>
      <c r="W75" s="12" t="inlineStr"/>
      <c r="X75" s="12" t="inlineStr"/>
      <c r="Y75" s="12" t="inlineStr"/>
      <c r="Z75" s="12" t="inlineStr"/>
    </row>
    <row r="76">
      <c r="A76" s="13" t="inlineStr">
        <is>
          <t>建议核</t>
        </is>
      </c>
      <c r="B76" s="10" t="n">
        <v>35</v>
      </c>
      <c r="C76" s="10" t="inlineStr">
        <is>
          <t>S036-M1</t>
        </is>
      </c>
      <c r="D76" s="10" t="inlineStr"/>
      <c r="E76" s="10" t="inlineStr">
        <is>
          <t>Righini and Salani, 2006</t>
        </is>
      </c>
      <c r="F76" s="10" t="inlineStr">
        <is>
          <t>传统</t>
        </is>
      </c>
      <c r="G76" s="10" t="inlineStr">
        <is>
          <t>Resource-bounded bidirectional label correcting with safe completion-cost bounds</t>
        </is>
      </c>
      <c r="H76" s="10" t="inlineStr">
        <is>
          <t>L5</t>
        </is>
      </c>
      <c r="I76" s="10" t="inlineStr">
        <is>
          <t>L4|L6</t>
        </is>
      </c>
      <c r="J76" s="10" t="inlineStr">
        <is>
          <t>G3</t>
        </is>
      </c>
      <c r="K76" s="10" t="inlineStr">
        <is>
          <t>E1</t>
        </is>
      </c>
      <c r="L76" s="10" t="inlineStr">
        <is>
          <t>02_参考文献/论文全文/S036_Righini_2006.pdf</t>
        </is>
      </c>
      <c r="M76" s="10" t="inlineStr">
        <is>
          <t>PDF pp.7–14, §§3.1–3.4, Algorithms 2–3 || PDF p.10 §3.3.1; pp.13–14 §3.4 || PDF pp.14–16 §§4.1–4.3; Tables 3–10 || PDF p.13 Table 5; p.15 Table 6; p.17 §4.3 || PDF pp.16–19, Tables 7–10, §4.3 and §5</t>
        </is>
      </c>
      <c r="N76" s="10" t="inlineStr">
        <is>
          <t>PDF pp.7–14 §§3.1–3.4: feasibility-compatible joins and complete complementary generation retain an optimal path. Critical resource must be monotone with positive consumption on every arc; safe fathoming requires upper bounds on completion gain and a feasible incumbent. Unreachable-node marking uses positive resource consumption and triangle inequality (p.5).</t>
        </is>
      </c>
      <c r="O76" s="10" t="inlineStr"/>
      <c r="P76" s="12" t="inlineStr"/>
      <c r="Q76" s="12" t="inlineStr"/>
      <c r="R76" s="12" t="inlineStr"/>
      <c r="S76" s="12" t="inlineStr"/>
      <c r="T76" s="12" t="inlineStr"/>
      <c r="U76" s="12" t="inlineStr"/>
      <c r="V76" s="12" t="inlineStr"/>
      <c r="W76" s="12" t="inlineStr"/>
      <c r="X76" s="12" t="inlineStr"/>
      <c r="Y76" s="12" t="inlineStr"/>
      <c r="Z76" s="12" t="inlineStr"/>
    </row>
    <row r="77">
      <c r="A77" s="13" t="inlineStr">
        <is>
          <t>建议核</t>
        </is>
      </c>
      <c r="B77" s="10" t="n">
        <v>36</v>
      </c>
      <c r="C77" s="10" t="inlineStr">
        <is>
          <t>S037-M1</t>
        </is>
      </c>
      <c r="D77" s="10" t="inlineStr"/>
      <c r="E77" s="10" t="inlineStr">
        <is>
          <t>Tilk et al., 2017</t>
        </is>
      </c>
      <c r="F77" s="10" t="inlineStr">
        <is>
          <t>传统</t>
        </is>
      </c>
      <c r="G77" s="10" t="inlineStr">
        <is>
          <t>Dynamic half-way point, direction with fewer unprocessed labels</t>
        </is>
      </c>
      <c r="H77" s="10" t="inlineStr">
        <is>
          <t>L5</t>
        </is>
      </c>
      <c r="I77" s="10" t="inlineStr">
        <is>
          <t>L4</t>
        </is>
      </c>
      <c r="J77" s="10" t="inlineStr">
        <is>
          <t>G1</t>
        </is>
      </c>
      <c r="K77" s="10" t="inlineStr">
        <is>
          <t>E1|E2</t>
        </is>
      </c>
      <c r="L77" s="10" t="inlineStr">
        <is>
          <t>02_参考文献/论文全文/S037_Tilk_2017.pdf</t>
        </is>
      </c>
      <c r="M77" s="10" t="inlineStr">
        <is>
          <t>PDF pp.6–8, printed pp.5–7, §2 Algorithm 1 || PDF pp.12–13, printed pp.11–12, §4 || PDF pp.13–14, Tables 2–3 || PDF pp.14–15, Tables 4–5 || PDF pp.15–16, §4.3, Tables 6–7</t>
        </is>
      </c>
      <c r="N77" s="10" t="inlineStr">
        <is>
          <t>PDF pp.6–8 Algorithm 1: maintain HF&gt;=HB, select available direction when other is empty, use feasible REF and valid dominance, complete compatible joins. Monotone processing improves workload but nonmonotone retrieval remains correct because meeting bounds overlap. The policy is not guaranteed to minimize work.</t>
        </is>
      </c>
      <c r="O77" s="10" t="inlineStr"/>
      <c r="P77" s="12" t="inlineStr"/>
      <c r="Q77" s="12" t="inlineStr"/>
      <c r="R77" s="12" t="inlineStr"/>
      <c r="S77" s="12" t="inlineStr"/>
      <c r="T77" s="12" t="inlineStr"/>
      <c r="U77" s="12" t="inlineStr"/>
      <c r="V77" s="12" t="inlineStr"/>
      <c r="W77" s="12" t="inlineStr"/>
      <c r="X77" s="12" t="inlineStr"/>
      <c r="Y77" s="12" t="inlineStr"/>
      <c r="Z77" s="12" t="inlineStr"/>
    </row>
    <row r="78" ht="60" customHeight="1">
      <c r="A78" s="13" t="inlineStr">
        <is>
          <t>建议核</t>
        </is>
      </c>
      <c r="B78" s="10" t="n">
        <v>37</v>
      </c>
      <c r="C78" s="10" t="inlineStr">
        <is>
          <t>S038-M1</t>
        </is>
      </c>
      <c r="D78" s="10" t="inlineStr"/>
      <c r="E78" s="10" t="inlineStr">
        <is>
          <t>Martinelli et al., 2014</t>
        </is>
      </c>
      <c r="F78" s="10" t="inlineStr">
        <is>
          <t>传统</t>
        </is>
      </c>
      <c r="G78" s="10" t="inlineStr">
        <is>
          <t>DSSR of ng-memory sets with certified termination</t>
        </is>
      </c>
      <c r="H78" s="10" t="inlineStr">
        <is>
          <t>L4</t>
        </is>
      </c>
      <c r="I78" s="10" t="inlineStr">
        <is>
          <t>L5|L3</t>
        </is>
      </c>
      <c r="J78" s="10" t="inlineStr">
        <is>
          <t>G4</t>
        </is>
      </c>
      <c r="K78" s="10" t="inlineStr">
        <is>
          <t>E2</t>
        </is>
      </c>
      <c r="L78" s="10" t="inlineStr">
        <is>
          <t>02_参考文献/论文全文/S038_Martinelli_2014.pdf</t>
        </is>
      </c>
      <c r="M78" s="10" t="inlineStr">
        <is>
          <t>PDF pp.9–14, printed8–13, Eqs.(1)–(2), §4.2.1, Algorithm2 || PDF pp.18–19, printed17–18, §5 || PDF pp.21–23,26–27, printed20–22,25–26, Tables1–2 || PDF p.29, printed28, Table4 || PDF pp.24–25,30–31, printed23–24,29–30, Tables5–6</t>
        </is>
      </c>
      <c r="N78" s="10" t="inlineStr">
        <is>
          <t>PDF pp.11–19, printed10–18, §§4.2 and5, Algorithms2–3: current sets remain subsets of target sets, so each problem is a relaxation. Refine forbidden cycles until the relaxed optimum obeys target ng feasibility, or relaxed minimum reduced cost is nonnegative. For elementary target, remove every cycle eventually; finite small ng-sets alone do not imply elementarity.</t>
        </is>
      </c>
      <c r="O78" s="10" t="inlineStr"/>
      <c r="P78" s="12" t="inlineStr"/>
      <c r="Q78" s="12" t="inlineStr"/>
      <c r="R78" s="12" t="inlineStr"/>
      <c r="S78" s="12" t="str">
        <v>需改</v>
      </c>
      <c r="T78" s="12" t="inlineStr"/>
      <c r="U78" s="12" t="inlineStr"/>
      <c r="V78" s="12" t="str">
        <v>D052 次层：NONE</v>
      </c>
      <c r="W78" s="12" t="str">
        <v>D052 PDF 12–14, 18–19, 21–22；§4.2.1 Algorithm 2; §5; §7</v>
      </c>
      <c r="X78" s="12" t="str">
        <v>已确认字段已用于新版稿件。未确定字段保留原值并在稿件标 †。原文核验由 Codex 完成；本次记录作者裁决，不代表独立人工复核。</v>
      </c>
      <c r="Y78" s="12" t="str">
        <v>Codex（依据作者裁决）</v>
      </c>
      <c r="Z78" s="12" t="str">
        <v>2026-10-15</v>
      </c>
    </row>
    <row r="79" ht="60" customHeight="1">
      <c r="A79" s="13" t="inlineStr">
        <is>
          <t>建议核</t>
        </is>
      </c>
      <c r="B79" s="10" t="n">
        <v>38</v>
      </c>
      <c r="C79" s="10" t="inlineStr">
        <is>
          <t>S038-M2</t>
        </is>
      </c>
      <c r="D79" s="10" t="inlineStr"/>
      <c r="E79" s="10" t="inlineStr">
        <is>
          <t>Martinelli et al., 2014</t>
        </is>
      </c>
      <c r="F79" s="10" t="inlineStr">
        <is>
          <t>传统</t>
        </is>
      </c>
      <c r="G79" s="10" t="inlineStr">
        <is>
          <t>Completion-bound pruning between DSSR iterations</t>
        </is>
      </c>
      <c r="H79" s="10" t="inlineStr">
        <is>
          <t>L4</t>
        </is>
      </c>
      <c r="I79" s="10" t="inlineStr">
        <is>
          <t>L5|L3</t>
        </is>
      </c>
      <c r="J79" s="10" t="inlineStr">
        <is>
          <t>G3</t>
        </is>
      </c>
      <c r="K79" s="10" t="inlineStr">
        <is>
          <t>E2</t>
        </is>
      </c>
      <c r="L79" s="10" t="inlineStr">
        <is>
          <t>02_参考文献/论文全文/S038_Martinelli_2014.pdf</t>
        </is>
      </c>
      <c r="M79" s="10" t="inlineStr">
        <is>
          <t>PDF pp.15–18, printed14–17, Eqs.(3)–(4), Algorithm3</t>
        </is>
      </c>
      <c r="N79" s="10" t="inlineStr">
        <is>
          <t>PDF pp.15–18, printed14–17, Eqs.(3)–(4), Algorithm3: previous relaxed domain contains the next domain. Completion cost must be a valid lower bound; asymmetric graphs require reverse-direction DP rather than reuse of forward costs. Threshold0 preserves negative-column detection, not exact identification of a positive minimum when no negative column exists.</t>
        </is>
      </c>
      <c r="O79" s="10" t="inlineStr"/>
      <c r="P79" s="12" t="inlineStr"/>
      <c r="Q79" s="12" t="inlineStr"/>
      <c r="R79" s="12" t="inlineStr"/>
      <c r="S79" s="12" t="str">
        <v>需改</v>
      </c>
      <c r="T79" s="12" t="inlineStr"/>
      <c r="U79" s="12" t="inlineStr"/>
      <c r="V79" s="12" t="str">
        <v>D053 次层：NONE</v>
      </c>
      <c r="W79" s="12" t="str">
        <v>D053 PDF 15–18, 21–22；§4.2.2 Eqs.(3)–(4), Algorithm 3; §7</v>
      </c>
      <c r="X79" s="12" t="str">
        <v>已确认字段已用于新版稿件。未确定字段保留原值并在稿件标 †。原文核验由 Codex 完成；本次记录作者裁决，不代表独立人工复核。</v>
      </c>
      <c r="Y79" s="12" t="str">
        <v>Codex（依据作者裁决）</v>
      </c>
      <c r="Z79" s="12" t="str">
        <v>2026-10-15</v>
      </c>
    </row>
    <row r="80">
      <c r="A80" s="13" t="inlineStr">
        <is>
          <t>建议核</t>
        </is>
      </c>
      <c r="B80" s="10" t="n">
        <v>42</v>
      </c>
      <c r="C80" s="10" t="inlineStr">
        <is>
          <t>S042-M1</t>
        </is>
      </c>
      <c r="D80" s="10" t="inlineStr"/>
      <c r="E80" s="10" t="inlineStr">
        <is>
          <t>Gondzio and González-Brevis, 2015</t>
        </is>
      </c>
      <c r="F80" s="10" t="inlineStr">
        <is>
          <t>传统</t>
        </is>
      </c>
      <c r="G80" s="10" t="inlineStr">
        <is>
          <t>One-step primal-dual restoration (1SPDR) within PDCGM</t>
        </is>
      </c>
      <c r="H80" s="10" t="inlineStr">
        <is>
          <t>L2</t>
        </is>
      </c>
      <c r="I80" s="10" t="inlineStr">
        <is>
          <t>L6</t>
        </is>
      </c>
      <c r="J80" s="10" t="inlineStr">
        <is>
          <t>G4</t>
        </is>
      </c>
      <c r="K80" s="10" t="inlineStr">
        <is>
          <t>E2</t>
        </is>
      </c>
      <c r="L80" s="10" t="inlineStr">
        <is>
          <t>02_参考文献/论文全文/S042_Gondzio_2015.pdf</t>
        </is>
      </c>
      <c r="M80" s="10" t="inlineStr">
        <is>
          <t>PDF pp.10–25, printed122–137, A.1–A.4, Lemmas1–4, Eq29, Theorems1–2 || PDF pp.20,24–27, Eq29, Algorithm1 step3, §5 implementation remarks || PDF pp.25–27 §5 and§5.1; pp.29–30 §5.2 || PDF p.27 Table1, printed139, p.28 discussion || PDF p.30 Table3, printed142; pp.31–32 discussion</t>
        </is>
      </c>
      <c r="N80" s="10" t="inlineStr">
        <is>
          <t>PDF pp.10–25 assumptionsA.1–A.4, Eq29, Theorems1–2 and Algorithm1: nonnegative old/new matrices, full-row-rank A, strictly feasible centered stored point and cut-depth bounds. If no suitable point exists use coldstart. LP correctness ultimately rests on PDCGM feasibility/gap test; one-step centrality theorem does not cover arbitrary matrices or the late-stage infeasible shortcut.</t>
        </is>
      </c>
      <c r="O80" s="10" t="inlineStr"/>
      <c r="P80" s="12" t="inlineStr"/>
      <c r="Q80" s="12" t="inlineStr"/>
      <c r="R80" s="12" t="inlineStr"/>
      <c r="S80" s="12" t="inlineStr"/>
      <c r="T80" s="12" t="inlineStr"/>
      <c r="U80" s="12" t="inlineStr"/>
      <c r="V80" s="12" t="inlineStr"/>
      <c r="W80" s="12" t="inlineStr"/>
      <c r="X80" s="12" t="inlineStr"/>
      <c r="Y80" s="12" t="inlineStr"/>
      <c r="Z80" s="12" t="inlineStr"/>
    </row>
    <row r="81">
      <c r="A81" s="13" t="inlineStr">
        <is>
          <t>建议核</t>
        </is>
      </c>
      <c r="B81" s="10" t="n">
        <v>43</v>
      </c>
      <c r="C81" s="10" t="inlineStr">
        <is>
          <t>S043-M1</t>
        </is>
      </c>
      <c r="D81" s="10" t="inlineStr"/>
      <c r="E81" s="10" t="inlineStr">
        <is>
          <t>Potthoff et al., 2010</t>
        </is>
      </c>
      <c r="F81" s="10" t="inlineStr">
        <is>
          <t>传统</t>
        </is>
      </c>
      <c r="G81" s="10" t="inlineStr">
        <is>
          <t>Main described algorithm</t>
        </is>
      </c>
      <c r="H81" s="10" t="inlineStr">
        <is>
          <t>L3</t>
        </is>
      </c>
      <c r="I81" s="10" t="inlineStr">
        <is>
          <t>L4|L6|L1|L2</t>
        </is>
      </c>
      <c r="J81" s="10" t="inlineStr">
        <is>
          <t>G5</t>
        </is>
      </c>
      <c r="K81" s="10" t="inlineStr">
        <is>
          <t>E2|E3</t>
        </is>
      </c>
      <c r="L81" s="10" t="inlineStr">
        <is>
          <t>02_参考文献/论文全文/S043_Potthoff_2010.pdf</t>
        </is>
      </c>
      <c r="M81" s="10" t="inlineStr">
        <is>
          <t>PDF pp5–8, §§4–6 and Figures3–4 || PDF p7 §5.1 || PDF pp8–10, §7.1–7.2 and Tables1–4 || PDF pp11–12, §7.3 and Tables5–8; Table8 visually checked || PDF pp11–12, end§7.3</t>
        </is>
      </c>
      <c r="N81" s="10" t="inlineStr">
        <is>
          <t>PDF pp5–8 §§4–6: core problems exclude duties and tasks, then selected neighborhoods expand only as needed. Column fixing uses depth-first search without backtracking. No exhaustive global recovery. Bounds and small gaps apply to the current core. The partial-pricing component separately requires all core subproblems solved to compute its lower bound.</t>
        </is>
      </c>
      <c r="O81" s="10" t="inlineStr"/>
      <c r="P81" s="12" t="inlineStr"/>
      <c r="Q81" s="12" t="inlineStr"/>
      <c r="R81" s="12" t="inlineStr"/>
      <c r="S81" s="12" t="inlineStr"/>
      <c r="T81" s="12" t="inlineStr"/>
      <c r="U81" s="12" t="inlineStr"/>
      <c r="V81" s="12" t="inlineStr"/>
      <c r="W81" s="12" t="inlineStr"/>
      <c r="X81" s="12" t="inlineStr"/>
      <c r="Y81" s="12" t="inlineStr"/>
      <c r="Z81" s="12" t="inlineStr"/>
    </row>
    <row r="82">
      <c r="A82" s="13" t="inlineStr">
        <is>
          <t>建议核</t>
        </is>
      </c>
      <c r="B82" s="10" t="n">
        <v>44</v>
      </c>
      <c r="C82" s="10" t="inlineStr">
        <is>
          <t>S043-M2</t>
        </is>
      </c>
      <c r="D82" s="10" t="inlineStr"/>
      <c r="E82" s="10" t="inlineStr">
        <is>
          <t>Potthoff et al., 2010</t>
        </is>
      </c>
      <c r="F82" s="10" t="inlineStr">
        <is>
          <t>传统</t>
        </is>
      </c>
      <c r="G82" s="10" t="inlineStr">
        <is>
          <t>partial pricing with complete core bound evaluation</t>
        </is>
      </c>
      <c r="H82" s="10" t="inlineStr">
        <is>
          <t>L3</t>
        </is>
      </c>
      <c r="I82" s="10" t="inlineStr">
        <is>
          <t>L2</t>
        </is>
      </c>
      <c r="J82" s="10" t="inlineStr">
        <is>
          <t>G2</t>
        </is>
      </c>
      <c r="K82" s="10" t="inlineStr">
        <is>
          <t>E2|E3</t>
        </is>
      </c>
      <c r="L82" s="10" t="inlineStr">
        <is>
          <t>02_参考文献/论文全文/S043_Potthoff_2010.pdf</t>
        </is>
      </c>
      <c r="M82" s="10" t="inlineStr">
        <is>
          <t>PDF pp6–7, §5 and §5.1</t>
        </is>
      </c>
      <c r="N82" s="10" t="inlineStr">
        <is>
          <t>PDFpp6–7: complete solution of every selected-core PP is required to compute Lagrangian lower bound; partial discovery may stop after30%. Guarantee is limited to the defined core and tolerance.</t>
        </is>
      </c>
      <c r="O82" s="10" t="inlineStr"/>
      <c r="P82" s="12" t="inlineStr"/>
      <c r="Q82" s="12" t="inlineStr"/>
      <c r="R82" s="12" t="inlineStr"/>
      <c r="S82" s="12" t="inlineStr"/>
      <c r="T82" s="12" t="inlineStr"/>
      <c r="U82" s="12" t="inlineStr"/>
      <c r="V82" s="12" t="inlineStr"/>
      <c r="W82" s="12" t="inlineStr"/>
      <c r="X82" s="12" t="inlineStr"/>
      <c r="Y82" s="12" t="inlineStr"/>
      <c r="Z82" s="12" t="inlineStr"/>
    </row>
    <row r="83">
      <c r="A83" s="13" t="inlineStr">
        <is>
          <t>建议核</t>
        </is>
      </c>
      <c r="B83" s="10" t="n">
        <v>50</v>
      </c>
      <c r="C83" s="10" t="inlineStr">
        <is>
          <t>S047-M1</t>
        </is>
      </c>
      <c r="D83" s="10" t="inlineStr"/>
      <c r="E83" s="10" t="inlineStr">
        <is>
          <t>Gschwind and Irnich, 2016</t>
        </is>
      </c>
      <c r="F83" s="10" t="inlineStr">
        <is>
          <t>传统</t>
        </is>
      </c>
      <c r="G83" s="10" t="inlineStr">
        <is>
          <t>Valid dual-optimal/deep dual-optimal inequalities with dynamic separation</t>
        </is>
      </c>
      <c r="H83" s="10" t="inlineStr">
        <is>
          <t>L2</t>
        </is>
      </c>
      <c r="I83" s="10" t="inlineStr">
        <is>
          <t>L6</t>
        </is>
      </c>
      <c r="J83" s="10" t="inlineStr">
        <is>
          <t>G4</t>
        </is>
      </c>
      <c r="K83" s="10" t="inlineStr">
        <is>
          <t>E2</t>
        </is>
      </c>
      <c r="L83" s="10" t="inlineStr">
        <is>
          <t>02_参考文献/论文全文/S047_Gschwind_2016.pdf</t>
        </is>
      </c>
      <c r="M83" s="10" t="inlineStr">
        <is>
          <t>PDF pp.3–9, printed176–182, §§2–3, Proposition1, Theorems1–2 || PDF pp.10–12, printed183–185, §4.1 || PDF pp.15–16, printed188–189, Table3 and §5.2 || PDF pp.16–17, printed189–190, Table4 || PDF p.20, printed193, final paragraph before references</t>
        </is>
      </c>
      <c r="N83" s="10" t="inlineStr">
        <is>
          <t>PDF pp.3–9 §§2–3 Proposition1 and Theorems1–2: DOI retains all dual optima; a DDOI system must jointly retain at least one. Exchange/row-replacement conditions distinguish unbounded, binary and conflict settings. Original primal feasibility needs a transformation or recovery, even if the dual optimum value is preserved. All detailed proposition proofs are in unavailable online EC.1; main-text statements and Algorithm1 argument inspected.</t>
        </is>
      </c>
      <c r="O83" s="10" t="inlineStr"/>
      <c r="P83" s="12" t="inlineStr"/>
      <c r="Q83" s="12" t="inlineStr"/>
      <c r="R83" s="12" t="inlineStr"/>
      <c r="S83" s="12" t="inlineStr"/>
      <c r="T83" s="12" t="inlineStr"/>
      <c r="U83" s="12" t="inlineStr"/>
      <c r="V83" s="12" t="inlineStr"/>
      <c r="W83" s="12" t="inlineStr"/>
      <c r="X83" s="12" t="inlineStr"/>
      <c r="Y83" s="12" t="inlineStr"/>
      <c r="Z83" s="12" t="inlineStr"/>
    </row>
    <row r="84">
      <c r="A84" s="13" t="inlineStr">
        <is>
          <t>建议核</t>
        </is>
      </c>
      <c r="B84" s="10" t="n">
        <v>51</v>
      </c>
      <c r="C84" s="10" t="inlineStr">
        <is>
          <t>S047-M2</t>
        </is>
      </c>
      <c r="D84" s="10" t="inlineStr"/>
      <c r="E84" s="10" t="inlineStr">
        <is>
          <t>Gschwind and Irnich, 2016</t>
        </is>
      </c>
      <c r="F84" s="10" t="inlineStr">
        <is>
          <t>传统</t>
        </is>
      </c>
      <c r="G84" s="10" t="inlineStr">
        <is>
          <t>Overstabilization by potential DDOIs with finite recovery</t>
        </is>
      </c>
      <c r="H84" s="10" t="inlineStr">
        <is>
          <t>L2</t>
        </is>
      </c>
      <c r="I84" s="10" t="inlineStr">
        <is>
          <t>L6</t>
        </is>
      </c>
      <c r="J84" s="10" t="inlineStr">
        <is>
          <t>G2</t>
        </is>
      </c>
      <c r="K84" s="10" t="inlineStr">
        <is>
          <t>E2</t>
        </is>
      </c>
      <c r="L84" s="10" t="inlineStr">
        <is>
          <t>02_参考文献/论文全文/S047_Gschwind_2016.pdf</t>
        </is>
      </c>
      <c r="M84" s="10" t="inlineStr">
        <is>
          <t>PDF p.12, printed185, Example1 and Algorithm1 || PDF pp.13–14, printed186–187, Table2 || PDF pp.17–19, printed190–192, Table5</t>
        </is>
      </c>
      <c r="N84" s="10" t="inlineStr">
        <is>
          <t>PDF p.12 §4.2 Algorithm1: convert compatible active WSI columns without changing cost; if incompatible positive artificial variables remain, remove every WSI with selected row h and forbid re-generation, solve CG again. At most m outer recovery loops yield y=0 and original-master optimal primal solution. Assumes admissible replacement columns, unit column costs and complete CG each outer step. No-correction observed on a benchmark is not universal validity proof.</t>
        </is>
      </c>
      <c r="O84" s="10" t="inlineStr"/>
      <c r="P84" s="12" t="inlineStr"/>
      <c r="Q84" s="12" t="inlineStr"/>
      <c r="R84" s="12" t="inlineStr"/>
      <c r="S84" s="12" t="inlineStr"/>
      <c r="T84" s="12" t="inlineStr"/>
      <c r="U84" s="12" t="inlineStr"/>
      <c r="V84" s="12" t="inlineStr"/>
      <c r="W84" s="12" t="inlineStr"/>
      <c r="X84" s="12" t="inlineStr"/>
      <c r="Y84" s="12" t="inlineStr"/>
      <c r="Z84" s="12" t="inlineStr"/>
    </row>
    <row r="85" ht="62" customHeight="1">
      <c r="A85" s="13" t="inlineStr">
        <is>
          <t>建议核</t>
        </is>
      </c>
      <c r="B85" s="10" t="n">
        <v>55</v>
      </c>
      <c r="C85" s="10" t="inlineStr">
        <is>
          <t>S050-M1</t>
        </is>
      </c>
      <c r="D85" s="10" t="inlineStr"/>
      <c r="E85" s="10" t="inlineStr">
        <is>
          <t>Morabit et al., 2021</t>
        </is>
      </c>
      <c r="F85" s="10" t="inlineStr">
        <is>
          <t>学习引导</t>
        </is>
      </c>
      <c r="G85" s="10" t="inlineStr">
        <is>
          <t>GNN-S VCSP</t>
        </is>
      </c>
      <c r="H85" s="10" t="inlineStr">
        <is>
          <t>L6</t>
        </is>
      </c>
      <c r="I85" s="10" t="inlineStr">
        <is>
          <t>L2</t>
        </is>
      </c>
      <c r="J85" s="10" t="inlineStr">
        <is>
          <t>G2</t>
        </is>
      </c>
      <c r="K85" s="10" t="inlineStr">
        <is>
          <t>E0|E2</t>
        </is>
      </c>
      <c r="L85" s="10" t="inlineStr">
        <is>
          <t>02_参考文献/论文全文/S050_Morabit_2021.pdf</t>
        </is>
      </c>
      <c r="M85" s="10" t="inlineStr">
        <is>
          <t>PDF pp4–5 §2; pp7–8 §3.3.2; p14 §5.1 || PDF pp9–11 §§4.3–4.4.2,Tables2–3; p15 §§5.3–5.4.1,Tables8–9 || PDF pp9–10 §4.4.1,Figure5,Table1; pp11–12 §4.4.3 || PDF p12 Table5; p13 Table6; p12 §4.4.3 || PDF pp13–14 stabilization extension,Table7 || PDF pp15–16 §§5.3–5.4.2,Table11</t>
        </is>
      </c>
      <c r="N85" s="10" t="inlineStr">
        <is>
          <t>PDFp5 explicitly calls exact pricing when heuristic finds no negative column and permits regeneration of removed columns. Empty learned selection/progress fallback not explicit. VRPTW certificate applies to two-cycle relaxed MP.</t>
        </is>
      </c>
      <c r="O85" s="10" t="inlineStr"/>
      <c r="P85" s="12" t="inlineStr"/>
      <c r="Q85" s="12" t="inlineStr"/>
      <c r="R85" s="12" t="inlineStr"/>
      <c r="S85" s="12" t="str">
        <v>需改</v>
      </c>
      <c r="T85" s="12" t="str">
        <v>无法判断</v>
      </c>
      <c r="U85" s="12" t="inlineStr"/>
      <c r="V85" s="12" t="str">
        <v>D060 次层：NONE
D094 主机制：未确定。原值只作历史记录，暂不覆盖源文件。</v>
      </c>
      <c r="W85" s="12" t="str">
        <v>D060 PDF 4–5, 9–12, 14–16；§2; §4.4; §§5.1–5.4
D094 PDF 4–5, 9–12, 14–16；§2; §4.4; §§5.1–5.4</v>
      </c>
      <c r="X85" s="12" t="str">
        <v>已确认字段已用于新版稿件。未确定字段保留原值并在稿件标 †。原文核验由 Codex 完成；本次记录作者裁决，不代表独立人工复核。</v>
      </c>
      <c r="Y85" s="12" t="str">
        <v>Codex（依据作者裁决）</v>
      </c>
      <c r="Z85" s="12" t="str">
        <v>2026-10-15</v>
      </c>
    </row>
    <row r="86" ht="60" customHeight="1">
      <c r="A86" s="13" t="inlineStr">
        <is>
          <t>建议核</t>
        </is>
      </c>
      <c r="B86" s="10" t="n">
        <v>58</v>
      </c>
      <c r="C86" s="10" t="inlineStr">
        <is>
          <t>S051-M1</t>
        </is>
      </c>
      <c r="D86" s="10" t="inlineStr"/>
      <c r="E86" s="10" t="inlineStr">
        <is>
          <t>Quesnel et al., 2022</t>
        </is>
      </c>
      <c r="F86" s="10" t="inlineStr">
        <is>
          <t>学习引导</t>
        </is>
      </c>
      <c r="G86" s="10" t="inlineStr">
        <is>
          <t>AlgML fixed restricted pricing</t>
        </is>
      </c>
      <c r="H86" s="10" t="inlineStr">
        <is>
          <t>L4</t>
        </is>
      </c>
      <c r="I86" s="10" t="inlineStr">
        <is>
          <t>L3|L1</t>
        </is>
      </c>
      <c r="J86" s="10" t="inlineStr">
        <is>
          <t>G5</t>
        </is>
      </c>
      <c r="K86" s="10" t="inlineStr">
        <is>
          <t>E0|E2|E3</t>
        </is>
      </c>
      <c r="L86" s="10" t="inlineStr">
        <is>
          <t>02_参考文献/论文全文/S051_Quesnel_2022.pdf</t>
        </is>
      </c>
      <c r="M86" s="10" t="inlineStr">
        <is>
          <t>PDF pp4–6, §§3.1–3.4 || PDF pp6–9 §§4.1–5.2, Tables1–3; p13 Table12 || PDF p11 Table7 and §5.3.1 || PDF p11 Table8 and §5.3.1 || PDF p12 Table10</t>
        </is>
      </c>
      <c r="N86" s="10" t="inlineStr">
        <is>
          <t>Main AlgML has no all-pairing restoration. MPP {0.5,1}/{0.1,0.55,1} checks all crew SPs on all pairings before CG termination, small instances only. All variants retain heuristic no-backtracking branching.</t>
        </is>
      </c>
      <c r="O86" s="10" t="inlineStr"/>
      <c r="P86" s="12" t="inlineStr"/>
      <c r="Q86" s="12" t="inlineStr"/>
      <c r="R86" s="12" t="inlineStr"/>
      <c r="S86" s="12" t="str">
        <v>需改</v>
      </c>
      <c r="T86" s="12" t="inlineStr"/>
      <c r="U86" s="12" t="inlineStr"/>
      <c r="V86" s="12" t="str">
        <v>D062 次层：NONE</v>
      </c>
      <c r="W86" s="12" t="str">
        <v>D062 PDF 4–6, 8–11；§§3.1–3.3; §§5.2–5.3</v>
      </c>
      <c r="X86" s="12" t="str">
        <v>已确认字段已用于新版稿件。未确定字段保留原值并在稿件标 †。原文核验由 Codex 完成；本次记录作者裁决，不代表独立人工复核。</v>
      </c>
      <c r="Y86" s="12" t="str">
        <v>Codex（依据作者裁决）</v>
      </c>
      <c r="Z86" s="12" t="str">
        <v>2026-10-15</v>
      </c>
    </row>
    <row r="87" ht="60" customHeight="1">
      <c r="A87" s="13" t="inlineStr">
        <is>
          <t>建议核</t>
        </is>
      </c>
      <c r="B87" s="10" t="n">
        <v>59</v>
      </c>
      <c r="C87" s="10" t="inlineStr">
        <is>
          <t>S051-M2</t>
        </is>
      </c>
      <c r="D87" s="10" t="inlineStr"/>
      <c r="E87" s="10" t="inlineStr">
        <is>
          <t>Quesnel et al., 2022</t>
        </is>
      </c>
      <c r="F87" s="10" t="inlineStr">
        <is>
          <t>学习引导</t>
        </is>
      </c>
      <c r="G87" s="10" t="inlineStr">
        <is>
          <t>MPP with maximum fraction 1, small datasets</t>
        </is>
      </c>
      <c r="H87" s="10" t="inlineStr">
        <is>
          <t>L4</t>
        </is>
      </c>
      <c r="I87" s="10" t="inlineStr">
        <is>
          <t>L3|L1</t>
        </is>
      </c>
      <c r="J87" s="10" t="inlineStr">
        <is>
          <t>G2</t>
        </is>
      </c>
      <c r="K87" s="10" t="inlineStr">
        <is>
          <t>E0|E2|E3</t>
        </is>
      </c>
      <c r="L87" s="10" t="inlineStr">
        <is>
          <t>02_参考文献/论文全文/S051_Quesnel_2022.pdf</t>
        </is>
      </c>
      <c r="M87" s="10" t="inlineStr">
        <is>
          <t>PDF p12 §5.3.3; p13 Table11; p6 §3.4</t>
        </is>
      </c>
      <c r="N87" s="10" t="inlineStr">
        <is>
          <t>Main AlgML has no all-pairing restoration. MPP {0.5,1}/{0.1,0.55,1} checks all crew SPs on all pairings before CG termination, small instances only. All variants retain heuristic no-backtracking branching.</t>
        </is>
      </c>
      <c r="O87" s="10" t="inlineStr"/>
      <c r="P87" s="12" t="inlineStr"/>
      <c r="Q87" s="12" t="inlineStr"/>
      <c r="R87" s="12" t="inlineStr"/>
      <c r="S87" s="12" t="str">
        <v>需改</v>
      </c>
      <c r="T87" s="12" t="inlineStr"/>
      <c r="U87" s="12" t="inlineStr"/>
      <c r="V87" s="12" t="str">
        <v>D063 次层：L3</v>
      </c>
      <c r="W87" s="12" t="str">
        <v>D063 PDF 4, 6, 12–13；§3.4; §5.3.3; Table 11</v>
      </c>
      <c r="X87" s="12" t="str">
        <v>已确认字段已用于新版稿件。未确定字段保留原值并在稿件标 †。原文核验由 Codex 完成；本次记录作者裁决，不代表独立人工复核。</v>
      </c>
      <c r="Y87" s="12" t="str">
        <v>Codex（依据作者裁决）</v>
      </c>
      <c r="Z87" s="12" t="str">
        <v>2026-10-15</v>
      </c>
    </row>
    <row r="88">
      <c r="A88" s="13" t="inlineStr">
        <is>
          <t>建议核</t>
        </is>
      </c>
      <c r="B88" s="10" t="n">
        <v>75</v>
      </c>
      <c r="C88" s="10" t="inlineStr">
        <is>
          <t>S060-M1</t>
        </is>
      </c>
      <c r="D88" s="10" t="inlineStr"/>
      <c r="E88" s="10" t="inlineStr">
        <is>
          <t>Xu et al., 2025</t>
        </is>
      </c>
      <c r="F88" s="10" t="inlineStr">
        <is>
          <t>学习引导</t>
        </is>
      </c>
      <c r="G88" s="10" t="inlineStr">
        <is>
          <t>RLHH plus integer RMP under a time budget</t>
        </is>
      </c>
      <c r="H88" s="10" t="inlineStr">
        <is>
          <t>L3</t>
        </is>
      </c>
      <c r="I88" s="10" t="inlineStr">
        <is>
          <t>L4</t>
        </is>
      </c>
      <c r="J88" s="10" t="inlineStr">
        <is>
          <t>G5</t>
        </is>
      </c>
      <c r="K88" s="10" t="inlineStr">
        <is>
          <t>E2</t>
        </is>
      </c>
      <c r="L88" s="10" t="inlineStr">
        <is>
          <t>02_参考文献/论文全文/S060_Xu_2025.pdf</t>
        </is>
      </c>
      <c r="M88" s="10" t="inlineStr">
        <is>
          <t>PDF p3 §3.1; pp4–6 §4 Algorithm1; p6experiments || PDF pp6–8 Table4 || PDF pp8–9 Table5 || PDF pp9–10 §5.3 Table6</t>
        </is>
      </c>
      <c r="N88" s="10" t="inlineStr">
        <is>
          <t>Full-networkpricing afterheuristicfails p6Algorithm1 supportsG2 forcompletedLP. OveralloutputsolvesintegerRMPonly andcappedrunsmaynotfinishCG,sooverallG5,notexactintegerB&amp;P.</t>
        </is>
      </c>
      <c r="O88" s="10" t="inlineStr"/>
      <c r="P88" s="12" t="inlineStr"/>
      <c r="Q88" s="12" t="inlineStr"/>
      <c r="R88" s="12" t="inlineStr"/>
      <c r="S88" s="12" t="inlineStr"/>
      <c r="T88" s="12" t="inlineStr"/>
      <c r="U88" s="12" t="inlineStr"/>
      <c r="V88" s="12" t="inlineStr"/>
      <c r="W88" s="12" t="inlineStr"/>
      <c r="X88" s="12" t="inlineStr"/>
      <c r="Y88" s="12" t="inlineStr"/>
      <c r="Z88" s="12" t="inlineStr"/>
    </row>
    <row r="89">
      <c r="A89" s="13" t="inlineStr">
        <is>
          <t>建议核</t>
        </is>
      </c>
      <c r="B89" s="10" t="n">
        <v>77</v>
      </c>
      <c r="C89" s="10" t="inlineStr">
        <is>
          <t>S061-M1</t>
        </is>
      </c>
      <c r="D89" s="10" t="inlineStr"/>
      <c r="E89" s="10" t="inlineStr">
        <is>
          <t>Abouelrous et al., 2025b</t>
        </is>
      </c>
      <c r="F89" s="10" t="inlineStr">
        <is>
          <t>学习引导</t>
        </is>
      </c>
      <c r="G89" s="10" t="inlineStr">
        <is>
          <t>Standalone POMO-CG</t>
        </is>
      </c>
      <c r="H89" s="10" t="inlineStr">
        <is>
          <t>L5</t>
        </is>
      </c>
      <c r="I89" s="10" t="inlineStr">
        <is>
          <t>L3</t>
        </is>
      </c>
      <c r="J89" s="10" t="inlineStr">
        <is>
          <t>G5</t>
        </is>
      </c>
      <c r="K89" s="10" t="inlineStr">
        <is>
          <t>E1|E2</t>
        </is>
      </c>
      <c r="L89" s="10" t="inlineStr">
        <is>
          <t>02_参考文献/论文全文/S061_Abouelrous_2025.pdf</t>
        </is>
      </c>
      <c r="M89" s="10" t="inlineStr">
        <is>
          <t>PDF p3 §3.1 Algorithm1; pp5–7 §§4.2–5; p10 §5.4.3 || PDF pp6–7 §§4.3,5.1–5.2 || PDF p8 Table4 and equations19–20; p7–8 §5.2 || PDF p8 §5.3 and p9 Figure4 || PDF p10 Table5, §5.4.1 || PDF pp10–12 §5.4.3,Table7,Appendix TableA.8</t>
        </is>
      </c>
      <c r="N89" s="10" t="inlineStr">
        <is>
          <t>Standalone stops when RL finds no negative column; hybrid switches permanently to same time-limited heuristic DP, so no demonstrated exact pricing certificate</t>
        </is>
      </c>
      <c r="O89" s="10" t="inlineStr"/>
      <c r="P89" s="12" t="inlineStr"/>
      <c r="Q89" s="12" t="inlineStr"/>
      <c r="R89" s="12" t="inlineStr"/>
      <c r="S89" s="12" t="inlineStr"/>
      <c r="T89" s="12" t="inlineStr"/>
      <c r="U89" s="12" t="inlineStr"/>
      <c r="V89" s="12" t="inlineStr"/>
      <c r="W89" s="12" t="inlineStr"/>
      <c r="X89" s="12" t="inlineStr"/>
      <c r="Y89" s="12" t="inlineStr"/>
      <c r="Z89" s="12" t="inlineStr"/>
    </row>
    <row r="90">
      <c r="A90" s="13" t="inlineStr">
        <is>
          <t>建议核</t>
        </is>
      </c>
      <c r="B90" s="10" t="n">
        <v>84</v>
      </c>
      <c r="C90" s="10" t="inlineStr">
        <is>
          <t>S064-M1</t>
        </is>
      </c>
      <c r="D90" s="10" t="inlineStr"/>
      <c r="E90" s="10" t="inlineStr">
        <is>
          <t>Basso and Salani, 2026</t>
        </is>
      </c>
      <c r="F90" s="10" t="inlineStr">
        <is>
          <t>学习引导</t>
        </is>
      </c>
      <c r="G90" s="10" t="inlineStr">
        <is>
          <t>Pareto/dominated label classification; no integrated learned solver</t>
        </is>
      </c>
      <c r="H90" s="10" t="inlineStr">
        <is>
          <t>L5</t>
        </is>
      </c>
      <c r="I90" s="10" t="inlineStr">
        <is>
          <t>L4</t>
        </is>
      </c>
      <c r="J90" s="10" t="inlineStr">
        <is>
          <t>GU-offline</t>
        </is>
      </c>
      <c r="K90" s="10" t="inlineStr">
        <is>
          <t>E0</t>
        </is>
      </c>
      <c r="L90" s="10" t="inlineStr">
        <is>
          <t>02_参考文献/论文全文/S064_Basso_2026.pdf</t>
        </is>
      </c>
      <c r="M90" s="10" t="inlineStr">
        <is>
          <t>PDF pp.4–8 §3–4 Table2; pp.24–25 §7 || PDF pp.19–22 §6.1–6.2 Tables4–5 || PDF pp.22–24 §6.3 Table6; p.8 data-generation overhead</t>
        </is>
      </c>
      <c r="N90" s="10" t="inlineStr">
        <is>
          <t>NOT_APPLICABLE; future integration only</t>
        </is>
      </c>
      <c r="O90" s="10" t="inlineStr"/>
      <c r="P90" s="12" t="inlineStr"/>
      <c r="Q90" s="12" t="inlineStr"/>
      <c r="R90" s="12" t="inlineStr"/>
      <c r="S90" s="12" t="inlineStr"/>
      <c r="T90" s="12" t="inlineStr"/>
      <c r="U90" s="12" t="inlineStr"/>
      <c r="V90" s="12" t="inlineStr"/>
      <c r="W90" s="12" t="inlineStr"/>
      <c r="X90" s="12" t="inlineStr"/>
      <c r="Y90" s="12" t="inlineStr"/>
      <c r="Z90" s="12" t="inlineStr"/>
    </row>
    <row r="91" ht="60" customHeight="1">
      <c r="A91" s="13" t="inlineStr">
        <is>
          <t>建议核</t>
        </is>
      </c>
      <c r="B91" s="10" t="n">
        <v>86</v>
      </c>
      <c r="C91" s="10" t="inlineStr">
        <is>
          <t>S066-M1</t>
        </is>
      </c>
      <c r="D91" s="10" t="inlineStr"/>
      <c r="E91" s="10" t="inlineStr">
        <is>
          <t>You et al., 2026a</t>
        </is>
      </c>
      <c r="F91" s="10" t="inlineStr">
        <is>
          <t>学习引导</t>
        </is>
      </c>
      <c r="G91" s="10" t="inlineStr">
        <is>
          <t>L-PDDOI direct</t>
        </is>
      </c>
      <c r="H91" s="10" t="inlineStr">
        <is>
          <t>L2</t>
        </is>
      </c>
      <c r="I91" s="10" t="inlineStr">
        <is>
          <t>L3</t>
        </is>
      </c>
      <c r="J91" s="10" t="inlineStr">
        <is>
          <t>G4</t>
        </is>
      </c>
      <c r="K91" s="10" t="inlineStr">
        <is>
          <t>E0|E2</t>
        </is>
      </c>
      <c r="L91" s="10" t="inlineStr">
        <is>
          <t>02_参考文献/论文全文/S066_You_2026.pdf</t>
        </is>
      </c>
      <c r="M91" s="10" t="inlineStr">
        <is>
          <t>PDF pp8–14 §§3–4.5,Propositions1–3,Theorem1; pp31–35 EC.3 proofs || PDF pp15–17 Table1,§5.1.4;pp26–31 EC.1–EC.2,TablesEC.1–4 || PDF pp18–20 Tables2,4;§5.2.1–5.2.3 || PDF pp21–22 Tables6–7 || PDF p20 Table4,p22 Table7,§§5.2.3/5.3.2 || PDF p21 Table5;p23 Table8 and§5.3.3</t>
        </is>
      </c>
      <c r="N91" s="10" t="inlineStr">
        <is>
          <t>Proposition3: after exactCG, zero artificial activity in an augmented optimum certifies boundequality; CorollaryEC1 finite releases with exactactivity,no gap-targetstop. Numeric1e−3activitytest checkedagainstindependentlyrecorded baselinebound.</t>
        </is>
      </c>
      <c r="O91" s="10" t="inlineStr"/>
      <c r="P91" s="12" t="inlineStr"/>
      <c r="Q91" s="12" t="inlineStr"/>
      <c r="R91" s="12" t="inlineStr"/>
      <c r="S91" s="12" t="str">
        <v>需改</v>
      </c>
      <c r="T91" s="12" t="inlineStr"/>
      <c r="U91" s="12" t="inlineStr"/>
      <c r="V91" s="12" t="str">
        <v>D069 次层：NONE</v>
      </c>
      <c r="W91" s="12" t="str">
        <v>D069 PDF 8、13–18、28、31；Definition1；§4.5；§5.1–5.2；EC.2</v>
      </c>
      <c r="X91" s="12" t="str">
        <v>已确认字段已用于新版稿件。未确定字段保留原值并在稿件标 †。原文核验由 Codex 完成；本次记录作者裁决，不代表独立人工复核。</v>
      </c>
      <c r="Y91" s="12" t="str">
        <v>Codex（依据作者裁决）</v>
      </c>
      <c r="Z91" s="12" t="str">
        <v>2026-10-15</v>
      </c>
    </row>
    <row r="92">
      <c r="A92" s="13" t="inlineStr">
        <is>
          <t>建议核</t>
        </is>
      </c>
      <c r="B92" s="10" t="n">
        <v>89</v>
      </c>
      <c r="C92" s="10" t="inlineStr">
        <is>
          <t>S067-M1</t>
        </is>
      </c>
      <c r="D92" s="10" t="inlineStr"/>
      <c r="E92" s="10" t="inlineStr">
        <is>
          <t>Berden et al., 2026</t>
        </is>
      </c>
      <c r="F92" s="10" t="inlineStr">
        <is>
          <t>学习引导</t>
        </is>
      </c>
      <c r="G92" s="10" t="inlineStr">
        <is>
          <t>Predictive dual smoothing</t>
        </is>
      </c>
      <c r="H92" s="10" t="inlineStr">
        <is>
          <t>L2</t>
        </is>
      </c>
      <c r="I92" s="10" t="inlineStr">
        <is>
          <t>NONE</t>
        </is>
      </c>
      <c r="J92" s="10" t="inlineStr">
        <is>
          <t>G4</t>
        </is>
      </c>
      <c r="K92" s="10" t="inlineStr">
        <is>
          <t>E0|E2</t>
        </is>
      </c>
      <c r="L92" s="10" t="inlineStr">
        <is>
          <t>02_参考文献/论文全文/S067_Berden_2026.pdf</t>
        </is>
      </c>
      <c r="M92" s="10" t="inlineStr">
        <is>
          <t>PDF pp5–6 §4.1 Figure1; p13AppendixB.3 || PDF p7 Table1;pp12–14AppendixA/B || PDF pp8–9 Tables2–3 || PDF p9 Table4; pp13–14AppendicesB/C</t>
        </is>
      </c>
      <c r="N92" s="10" t="inlineStr">
        <is>
          <t>pp5–6currentdualRCvalidation andexactfallback certifytermination. GAPglobalall-machinefallback p13;DuMerleepsehalvedwhenbothpricingmodesfail,finalexactpricingrequired. Formalnumericpenaltyzero thresholdNR.</t>
        </is>
      </c>
      <c r="O92" s="10" t="inlineStr"/>
      <c r="P92" s="12" t="inlineStr"/>
      <c r="Q92" s="12" t="inlineStr"/>
      <c r="R92" s="12" t="inlineStr"/>
      <c r="S92" s="12" t="inlineStr"/>
      <c r="T92" s="12" t="inlineStr"/>
      <c r="U92" s="12" t="inlineStr"/>
      <c r="V92" s="12" t="inlineStr"/>
      <c r="W92" s="12" t="inlineStr"/>
      <c r="X92" s="12" t="inlineStr"/>
      <c r="Y92" s="12" t="inlineStr"/>
      <c r="Z92" s="12" t="inlineStr"/>
    </row>
    <row r="93">
      <c r="A93" s="13" t="inlineStr">
        <is>
          <t>建议核</t>
        </is>
      </c>
      <c r="B93" s="10" t="n">
        <v>90</v>
      </c>
      <c r="C93" s="10" t="inlineStr">
        <is>
          <t>S068-M1</t>
        </is>
      </c>
      <c r="D93" s="10" t="inlineStr"/>
      <c r="E93" s="10" t="inlineStr">
        <is>
          <t>Hijazi et al., 2026</t>
        </is>
      </c>
      <c r="F93" s="10" t="inlineStr">
        <is>
          <t>学习引导</t>
        </is>
      </c>
      <c r="G93" s="10" t="inlineStr">
        <is>
          <t>CG NN-DP</t>
        </is>
      </c>
      <c r="H93" s="10" t="inlineStr">
        <is>
          <t>L5</t>
        </is>
      </c>
      <c r="I93" s="10" t="inlineStr">
        <is>
          <t>NONE</t>
        </is>
      </c>
      <c r="J93" s="10" t="inlineStr">
        <is>
          <t>G2</t>
        </is>
      </c>
      <c r="K93" s="10" t="inlineStr">
        <is>
          <t>E0|E2</t>
        </is>
      </c>
      <c r="L93" s="10" t="inlineStr">
        <is>
          <t>02_参考文献/论文全文/S068_Hijazi_2026.pdf</t>
        </is>
      </c>
      <c r="M93" s="10" t="inlineStr">
        <is>
          <t>PDF pp2,4–6,9; p14§7 || PDF pp10–11 §4–6.1 Figure5 Table1 || PDF pp11–13 §6.2 Figures6–7 || PDF pp13–15 Figures8–9</t>
        </is>
      </c>
      <c r="N93" s="10" t="inlineStr">
        <is>
          <t>TrueRCcheck andexactDPfallbackp2,p4,p14;certificateonlywhenexactDPfindsnofurthernegativecolumn before900scap. Budgetterminatedrunsuncertified, nointegeroptimality.</t>
        </is>
      </c>
      <c r="O93" s="10" t="inlineStr"/>
      <c r="P93" s="12" t="inlineStr"/>
      <c r="Q93" s="12" t="inlineStr"/>
      <c r="R93" s="12" t="inlineStr"/>
      <c r="S93" s="12" t="inlineStr"/>
      <c r="T93" s="12" t="inlineStr"/>
      <c r="U93" s="12" t="inlineStr"/>
      <c r="V93" s="12" t="inlineStr"/>
      <c r="W93" s="12" t="inlineStr"/>
      <c r="X93" s="12" t="inlineStr"/>
      <c r="Y93" s="12" t="inlineStr"/>
      <c r="Z93" s="12" t="inlineStr"/>
    </row>
    <row r="94">
      <c r="A94" s="13" t="inlineStr">
        <is>
          <t>建议核</t>
        </is>
      </c>
      <c r="B94" s="10" t="n">
        <v>93</v>
      </c>
      <c r="C94" s="10" t="inlineStr">
        <is>
          <t>S071-M1</t>
        </is>
      </c>
      <c r="D94" s="10" t="inlineStr"/>
      <c r="E94" s="10" t="inlineStr">
        <is>
          <t>Xue et al., 2026</t>
        </is>
      </c>
      <c r="F94" s="10" t="inlineStr">
        <is>
          <t>学习引导</t>
        </is>
      </c>
      <c r="G94" s="10" t="inlineStr">
        <is>
          <t>Edge-and-break fixing with heuristic CG</t>
        </is>
      </c>
      <c r="H94" s="10" t="inlineStr">
        <is>
          <t>L4</t>
        </is>
      </c>
      <c r="I94" s="10" t="inlineStr">
        <is>
          <t>L3|L5</t>
        </is>
      </c>
      <c r="J94" s="10" t="inlineStr">
        <is>
          <t>G5</t>
        </is>
      </c>
      <c r="K94" s="10" t="inlineStr">
        <is>
          <t>E0|E2</t>
        </is>
      </c>
      <c r="L94" s="10" t="inlineStr">
        <is>
          <t>02_参考文献/论文全文/S071_Xue_2026.pdf</t>
        </is>
      </c>
      <c r="M94" s="10" t="inlineStr">
        <is>
          <t>PDF pp.10,13–16 §5 Algorithms1–2 and§5.4.1; p.17 §6.1 || PDF pp.11–13 §5.2–5.3; pp.16,18–19 §6protocol,§6.2.4 || PDF pp.18–21 Tables6–8,§6.2.3–6.2.4 || PDF p.17 §6.1 Table5; p.19 §6.2.3; p.22 AppendixA adaptation || PDF pp.23–26 AppendixA TablesA.2–A.5</t>
        </is>
      </c>
      <c r="N94" s="10" t="inlineStr">
        <is>
          <t>Swap provides a heuristic override of predicted fixed arcs. No exact pricing fallback is used inside the ML solve. Integer recovery uses the restricted master. Fleet-size relaxation is restored before output according to page 17.</t>
        </is>
      </c>
      <c r="O94" s="10" t="inlineStr"/>
      <c r="P94" s="12" t="inlineStr"/>
      <c r="Q94" s="12" t="inlineStr"/>
      <c r="R94" s="12" t="inlineStr"/>
      <c r="S94" s="12" t="inlineStr"/>
      <c r="T94" s="12" t="inlineStr"/>
      <c r="U94" s="12" t="inlineStr"/>
      <c r="V94" s="12" t="inlineStr"/>
      <c r="W94" s="12" t="inlineStr"/>
      <c r="X94" s="12" t="inlineStr"/>
      <c r="Y94" s="12" t="inlineStr"/>
      <c r="Z94" s="12" t="inlineStr"/>
    </row>
    <row r="95" ht="60" customHeight="1">
      <c r="A95" s="13" t="inlineStr">
        <is>
          <t>建议核</t>
        </is>
      </c>
      <c r="B95" s="10" t="n">
        <v>96</v>
      </c>
      <c r="C95" s="10" t="inlineStr">
        <is>
          <t>S072-M1</t>
        </is>
      </c>
      <c r="D95" s="10" t="inlineStr"/>
      <c r="E95" s="10" t="inlineStr">
        <is>
          <t>Zhang et al., 2025</t>
        </is>
      </c>
      <c r="F95" s="10" t="inlineStr">
        <is>
          <t>学习引导</t>
        </is>
      </c>
      <c r="G95" s="10" t="inlineStr">
        <is>
          <t>Main described algorithm</t>
        </is>
      </c>
      <c r="H95" s="10" t="inlineStr">
        <is>
          <t>L5</t>
        </is>
      </c>
      <c r="I95" s="10" t="inlineStr">
        <is>
          <t>L3|L4</t>
        </is>
      </c>
      <c r="J95" s="10" t="inlineStr">
        <is>
          <t>G2</t>
        </is>
      </c>
      <c r="K95" s="10" t="inlineStr">
        <is>
          <t>E2</t>
        </is>
      </c>
      <c r="L95" s="10" t="inlineStr">
        <is>
          <t>02_参考文献/论文全文/S072_Zhang_2025.pdf</t>
        </is>
      </c>
      <c r="M95" s="10" t="inlineStr">
        <is>
          <t>PDF pp6–10, §4.3, especially §4.3.4 and §4.5.2 p10; Appendix D p21 || PDF p10 §4.4–4.5.1; Appendix E p22 || PDF pp10–11 §5.1, Table3; Appendix F p22 || PDF p22 TableG1; pp26–27 TablesH1–H2 || PDF p23 TablesG2–G3; p26 TableG9; p30 TablesK1–K3</t>
        </is>
      </c>
      <c r="N95" s="10" t="inlineStr">
        <is>
          <t>§4.3.4 p10 exact Gurobi pricing when both heuristics fail. §4.5.2 revisits tabu pricing problems before termination. This protects pricing completeness on the residual problem; integer solution is restricted-master ILP, not B&amp;P. Preprocessing Rule4 fixes a partial solution without a proof of global preservation, so no unconditional original-problem exactness is credited.</t>
        </is>
      </c>
      <c r="O95" s="10" t="inlineStr"/>
      <c r="P95" s="12" t="inlineStr"/>
      <c r="Q95" s="12" t="inlineStr"/>
      <c r="R95" s="12" t="inlineStr"/>
      <c r="S95" s="12" t="inlineStr"/>
      <c r="T95" s="12" t="str">
        <v>无法判断</v>
      </c>
      <c r="U95" s="12" t="inlineStr"/>
      <c r="V95" s="12" t="str">
        <v>D090 主机制：未确定。原值只作历史记录，暂不覆盖源文件。</v>
      </c>
      <c r="W95" s="12" t="str">
        <v>D090 PDF 6–11、21–22；§4.3.1–4.5.2；AppendicesD–G</v>
      </c>
      <c r="X95" s="12" t="str">
        <v>已确认字段已用于新版稿件。未确定字段保留原值并在稿件标 †。原文核验由 Codex 完成；本次记录作者裁决，不代表独立人工复核。</v>
      </c>
      <c r="Y95" s="12" t="str">
        <v>Codex（依据作者裁决）</v>
      </c>
      <c r="Z95" s="12" t="str">
        <v>2026-10-15</v>
      </c>
    </row>
    <row r="96">
      <c r="A96" s="13" t="inlineStr">
        <is>
          <t>建议核</t>
        </is>
      </c>
      <c r="B96" s="10" t="n">
        <v>97</v>
      </c>
      <c r="C96" s="10" t="inlineStr">
        <is>
          <t>S073-M1</t>
        </is>
      </c>
      <c r="D96" s="10" t="inlineStr"/>
      <c r="E96" s="10" t="inlineStr">
        <is>
          <t>Ouasaid and Saddoune, 2025</t>
        </is>
      </c>
      <c r="F96" s="10" t="inlineStr">
        <is>
          <t>学习引导</t>
        </is>
      </c>
      <c r="G96" s="10" t="inlineStr">
        <is>
          <t>Main described algorithm</t>
        </is>
      </c>
      <c r="H96" s="10" t="inlineStr">
        <is>
          <t>L4</t>
        </is>
      </c>
      <c r="I96" s="10" t="inlineStr">
        <is>
          <t>L5|L2</t>
        </is>
      </c>
      <c r="J96" s="10" t="inlineStr">
        <is>
          <t>G5</t>
        </is>
      </c>
      <c r="K96" s="10" t="inlineStr">
        <is>
          <t>E0|E2</t>
        </is>
      </c>
      <c r="L96" s="10" t="inlineStr">
        <is>
          <t>02_参考文献/论文全文/S073_Ouasaid_2025.pdf</t>
        </is>
      </c>
      <c r="M96" s="10" t="inlineStr">
        <is>
          <t>PDFp3Algorithm1;pp8–9§2.3.2 || PDFp9Table5andnearbytext;p12Conclusion || PDFpp10–11Tables6–7;§3.2</t>
        </is>
      </c>
      <c r="N96" s="10" t="inlineStr">
        <is>
          <t>Alg1p3whileCPU&lt;=T;pricingrestrictedto3requestsubsets;nofull-domaincertification/fallbackspecified;integeroptimizationdetailsnotclear.</t>
        </is>
      </c>
      <c r="O96" s="10" t="inlineStr"/>
      <c r="P96" s="12" t="inlineStr"/>
      <c r="Q96" s="12" t="inlineStr"/>
      <c r="R96" s="12" t="inlineStr"/>
      <c r="S96" s="12" t="inlineStr"/>
      <c r="T96" s="12" t="inlineStr"/>
      <c r="U96" s="12" t="inlineStr"/>
      <c r="V96" s="12" t="inlineStr"/>
      <c r="W96" s="12" t="inlineStr"/>
      <c r="X96" s="12" t="inlineStr"/>
      <c r="Y96" s="12" t="inlineStr"/>
      <c r="Z96" s="12" t="inlineStr"/>
    </row>
    <row r="97" ht="60" customHeight="1">
      <c r="A97" s="13" t="inlineStr">
        <is>
          <t>建议核</t>
        </is>
      </c>
      <c r="B97" s="10" t="n">
        <v>98</v>
      </c>
      <c r="C97" s="10" t="inlineStr">
        <is>
          <t>S074-M1</t>
        </is>
      </c>
      <c r="D97" s="10" t="inlineStr"/>
      <c r="E97" s="10" t="inlineStr">
        <is>
          <t>Das and Dong, 2025</t>
        </is>
      </c>
      <c r="F97" s="10" t="inlineStr">
        <is>
          <t>学习引导</t>
        </is>
      </c>
      <c r="G97" s="10" t="inlineStr">
        <is>
          <t>Main described algorithm</t>
        </is>
      </c>
      <c r="H97" s="10" t="inlineStr">
        <is>
          <t>L5</t>
        </is>
      </c>
      <c r="I97" s="10" t="inlineStr">
        <is>
          <t>NONE</t>
        </is>
      </c>
      <c r="J97" s="10" t="inlineStr">
        <is>
          <t>G5</t>
        </is>
      </c>
      <c r="K97" s="10" t="inlineStr">
        <is>
          <t>E2|E3</t>
        </is>
      </c>
      <c r="L97" s="10" t="inlineStr">
        <is>
          <t>02_参考文献/论文全文/S074_Das_2025.pdf</t>
        </is>
      </c>
      <c r="M97" s="10" t="inlineStr">
        <is>
          <t>PDF pp7–11§4,Algorithms1–2,§4.4 || PDF p11Table2 Solving Method Comparison,p12Figure1 text || PDF p13 secondTable2 home-address tests || PDF pp6–10 equations10,29,39;pp19–20AppendicesB–E</t>
        </is>
      </c>
      <c r="N97" s="10" t="inlineStr">
        <is>
          <t>No exact pricing fallback specified for RLBP. Branching described but exact pricing/domain enforcement not established;§4says final restrictedintegerMP while§4.4describes recursive tree.</t>
        </is>
      </c>
      <c r="O97" s="10" t="inlineStr"/>
      <c r="P97" s="12" t="inlineStr"/>
      <c r="Q97" s="12" t="inlineStr"/>
      <c r="R97" s="12" t="inlineStr"/>
      <c r="S97" s="12" t="inlineStr"/>
      <c r="T97" s="12" t="inlineStr"/>
      <c r="U97" s="12" t="str">
        <v>无法判断</v>
      </c>
      <c r="V97" s="12" t="str">
        <v>D103 证据范围：未确定。原值只作历史记录，暂不覆盖源文件。</v>
      </c>
      <c r="W97" s="12" t="str">
        <v>D103 PDF 7;10–13；§4首段;Algorithms 1–2;§4.4;§5.2及两个Table 2</v>
      </c>
      <c r="X97" s="12" t="str">
        <v>已确认字段已用于新版稿件。未确定字段保留原值并在稿件标 †。原文核验由 Codex 完成；本次记录作者裁决，不代表独立人工复核。</v>
      </c>
      <c r="Y97" s="12" t="str">
        <v>Codex（依据作者裁决）</v>
      </c>
      <c r="Z97" s="12" t="str">
        <v>2026-10-15</v>
      </c>
    </row>
    <row r="98" ht="60" customHeight="1">
      <c r="A98" s="13" t="inlineStr">
        <is>
          <t>建议核</t>
        </is>
      </c>
      <c r="B98" s="10" t="n">
        <v>99</v>
      </c>
      <c r="C98" s="10" t="inlineStr">
        <is>
          <t>S075-M1</t>
        </is>
      </c>
      <c r="D98" s="10" t="inlineStr"/>
      <c r="E98" s="10" t="inlineStr">
        <is>
          <t>Shen et al., 2024</t>
        </is>
      </c>
      <c r="F98" s="10" t="inlineStr">
        <is>
          <t>学习引导</t>
        </is>
      </c>
      <c r="G98" s="10" t="inlineStr">
        <is>
          <t>Main described algorithm</t>
        </is>
      </c>
      <c r="H98" s="10" t="inlineStr">
        <is>
          <t>L2</t>
        </is>
      </c>
      <c r="I98" s="10" t="inlineStr">
        <is>
          <t>NONE</t>
        </is>
      </c>
      <c r="J98" s="10" t="inlineStr">
        <is>
          <t>G4</t>
        </is>
      </c>
      <c r="K98" s="10" t="inlineStr">
        <is>
          <t>E0|E2</t>
        </is>
      </c>
      <c r="L98" s="10" t="inlineStr">
        <is>
          <t>02_参考文献/论文全文/S075_Shen_2024.pdf</t>
        </is>
      </c>
      <c r="M98" s="10" t="inlineStr">
        <is>
          <t>PDF pp4–6 Algorithm1,Eq15,Theorem3.2,Lemma3.5;pp12–14 AppendixC || PDF p7 Table1 and §4.2 || PDF p8 Tables2,4;pp17–18 Tables9–12</t>
        </is>
      </c>
      <c r="N98" s="10" t="inlineStr">
        <is>
          <t>Algorithm1 p4 requires epsilon0 and nonnegative minimum reducedcost. Lemma3.5 p6/AppC.5 p14 finite epsilon collapse; heuristic pricing followed by exact when no negative column p5. G4 concerns LP only.</t>
        </is>
      </c>
      <c r="O98" s="10" t="inlineStr"/>
      <c r="P98" s="12" t="inlineStr"/>
      <c r="Q98" s="12" t="inlineStr"/>
      <c r="R98" s="12" t="inlineStr"/>
      <c r="S98" s="12" t="inlineStr"/>
      <c r="T98" s="12" t="str">
        <v>无法判断</v>
      </c>
      <c r="U98" s="12" t="inlineStr"/>
      <c r="V98" s="12" t="str">
        <v>D098 主机制：未确定。原值只作历史记录，暂不覆盖源文件。</v>
      </c>
      <c r="W98" s="12" t="str">
        <v>D098 PDF 4–8;13–14；Algorithm 1;Eq.(15);Theorem 3.2;Lemma 3.5/C.5;Tables 1–4</v>
      </c>
      <c r="X98" s="12" t="str">
        <v>已确认字段已用于新版稿件。未确定字段保留原值并在稿件标 †。原文核验由 Codex 完成；本次记录作者裁决，不代表独立人工复核。</v>
      </c>
      <c r="Y98" s="12" t="str">
        <v>Codex（依据作者裁决）</v>
      </c>
      <c r="Z98" s="12" t="str">
        <v>2026-10-15</v>
      </c>
    </row>
    <row r="99">
      <c r="A99" s="13" t="inlineStr">
        <is>
          <t>建议核</t>
        </is>
      </c>
      <c r="B99" s="10" t="n">
        <v>100</v>
      </c>
      <c r="C99" s="10" t="inlineStr">
        <is>
          <t>S076-M1</t>
        </is>
      </c>
      <c r="D99" s="10" t="inlineStr"/>
      <c r="E99" s="10" t="inlineStr">
        <is>
          <t>Duan et al., 2022</t>
        </is>
      </c>
      <c r="F99" s="10" t="inlineStr">
        <is>
          <t>学习引导</t>
        </is>
      </c>
      <c r="G99" s="10" t="inlineStr">
        <is>
          <t>Main described algorithm</t>
        </is>
      </c>
      <c r="H99" s="10" t="inlineStr">
        <is>
          <t>L6</t>
        </is>
      </c>
      <c r="I99" s="10" t="inlineStr">
        <is>
          <t>L4</t>
        </is>
      </c>
      <c r="J99" s="10" t="inlineStr">
        <is>
          <t>G5</t>
        </is>
      </c>
      <c r="K99" s="10" t="inlineStr">
        <is>
          <t>E0|E2</t>
        </is>
      </c>
      <c r="L99" s="10" t="inlineStr">
        <is>
          <t>02_参考文献/论文全文/S076_Duan_2022.pdf</t>
        </is>
      </c>
      <c r="M99" s="10" t="inlineStr">
        <is>
          <t>PDFpp3–5§3–4.2 || PDFp6§5.1/5.4;p7Table4 || PDFpp7–8§5.5Figs3–5</t>
        </is>
      </c>
      <c r="N99" s="10" t="inlineStr">
        <is>
          <t>Historicalpooldefines restricted domain;nooriginalpackingfull-domainpricingcertificate. MPNterminatesbylearnedstop anddirectpatternsubset,so evenarchiveLPcertificateabsent forlearnedvariant.</t>
        </is>
      </c>
      <c r="O99" s="10" t="inlineStr"/>
      <c r="P99" s="12" t="inlineStr"/>
      <c r="Q99" s="12" t="inlineStr"/>
      <c r="R99" s="12" t="inlineStr"/>
      <c r="S99" s="12" t="inlineStr"/>
      <c r="T99" s="12" t="inlineStr"/>
      <c r="U99" s="12" t="inlineStr"/>
      <c r="V99" s="12" t="inlineStr"/>
      <c r="W99" s="12" t="inlineStr"/>
      <c r="X99" s="12" t="inlineStr"/>
      <c r="Y99" s="12" t="inlineStr"/>
      <c r="Z99" s="12" t="inlineStr"/>
    </row>
    <row r="100">
      <c r="A100" s="13" t="inlineStr">
        <is>
          <t>建议核</t>
        </is>
      </c>
      <c r="B100" s="10" t="n">
        <v>101</v>
      </c>
      <c r="C100" s="10" t="inlineStr">
        <is>
          <t>S077-M1</t>
        </is>
      </c>
      <c r="D100" s="10" t="inlineStr"/>
      <c r="E100" s="10" t="inlineStr">
        <is>
          <t>Abouelrous et al., 2025a</t>
        </is>
      </c>
      <c r="F100" s="10" t="inlineStr">
        <is>
          <t>学习引导</t>
        </is>
      </c>
      <c r="G100" s="10" t="inlineStr">
        <is>
          <t>Main described algorithm</t>
        </is>
      </c>
      <c r="H100" s="10" t="inlineStr">
        <is>
          <t>L4</t>
        </is>
      </c>
      <c r="I100" s="10" t="inlineStr">
        <is>
          <t>L5</t>
        </is>
      </c>
      <c r="J100" s="10" t="inlineStr">
        <is>
          <t>G5</t>
        </is>
      </c>
      <c r="K100" s="10" t="inlineStr">
        <is>
          <t>E2</t>
        </is>
      </c>
      <c r="L100" s="10" t="inlineStr">
        <is>
          <t>02_参考文献/论文全文/S077_Abouelrous_2025.pdf</t>
        </is>
      </c>
      <c r="M100" s="10" t="inlineStr">
        <is>
          <t>PDFp10Algorithm2lines9–12;PDFp17lastparagraph || PDFp13Table1;PDFp15Table2;PDFp12§5.3 || PDFpp18–19Tables4–5/§5.4</t>
        </is>
      </c>
      <c r="N100" s="10" t="inlineStr">
        <is>
          <t>Algorithm2p10terminatesonlocalheuristicno-negativecolumn;nofullpricingrestoration. RestrictedRMPobjectivenotcertifiedoriginallowerbound.</t>
        </is>
      </c>
      <c r="O100" s="10" t="inlineStr"/>
      <c r="P100" s="12" t="inlineStr"/>
      <c r="Q100" s="12" t="inlineStr"/>
      <c r="R100" s="12" t="inlineStr"/>
      <c r="S100" s="12" t="inlineStr"/>
      <c r="T100" s="12" t="inlineStr"/>
      <c r="U100" s="12" t="inlineStr"/>
      <c r="V100" s="12" t="inlineStr"/>
      <c r="W100" s="12" t="inlineStr"/>
      <c r="X100" s="12" t="inlineStr"/>
      <c r="Y100" s="12" t="inlineStr"/>
      <c r="Z100" s="12" t="inlineStr"/>
    </row>
    <row r="101" ht="60" customHeight="1">
      <c r="A101" s="13" t="inlineStr">
        <is>
          <t>建议核</t>
        </is>
      </c>
      <c r="B101" s="10" t="n">
        <v>102</v>
      </c>
      <c r="C101" s="10" t="inlineStr">
        <is>
          <t>S078-M1</t>
        </is>
      </c>
      <c r="D101" s="10" t="inlineStr"/>
      <c r="E101" s="10" t="inlineStr">
        <is>
          <t>Lu et al., 2025</t>
        </is>
      </c>
      <c r="F101" s="10" t="inlineStr">
        <is>
          <t>学习引导</t>
        </is>
      </c>
      <c r="G101" s="10" t="inlineStr">
        <is>
          <t>Main described algorithm</t>
        </is>
      </c>
      <c r="H101" s="10" t="inlineStr">
        <is>
          <t>L4</t>
        </is>
      </c>
      <c r="I101" s="10" t="inlineStr">
        <is>
          <t>L1</t>
        </is>
      </c>
      <c r="J101" s="10" t="inlineStr">
        <is>
          <t>G5</t>
        </is>
      </c>
      <c r="K101" s="10" t="inlineStr">
        <is>
          <t>E0|E2|E3</t>
        </is>
      </c>
      <c r="L101" s="10" t="inlineStr">
        <is>
          <t>02_参考文献/论文全文/S078_Lu_2025.pdf</t>
        </is>
      </c>
      <c r="M101" s="10" t="inlineStr">
        <is>
          <t>PDF pp9–15, §§4–5.1, Figures 5–8, Tables 2–4 || PDF pp7–8, §3.3; Appendix A Algorithms 1–4, pp19–22, especially Algorithm 3 lines31–32 || PDF p16, Table5 and §5.3 || PDF p17, Table6; pp17–18 sensitivity Figures15–16 || PDF pp20–23, Appendix B, Table7, Figure17</t>
        </is>
      </c>
      <c r="N101" s="10" t="inlineStr">
        <is>
          <t>No full-graph restoration. Pricing caps number of labels per node; CG may stop after objective stagnation; diving fixes only one child. PDF pp7–8 and Appendix A pp19–22. Hence no certified full-CG or complete-tree optimality.</t>
        </is>
      </c>
      <c r="O101" s="10" t="inlineStr"/>
      <c r="P101" s="12" t="inlineStr"/>
      <c r="Q101" s="12" t="inlineStr"/>
      <c r="R101" s="12" t="inlineStr"/>
      <c r="S101" s="12" t="inlineStr"/>
      <c r="T101" s="12" t="inlineStr"/>
      <c r="U101" s="12" t="str">
        <v>需改</v>
      </c>
      <c r="V101" s="12" t="str">
        <v>D011 证据范围：E0|E3</v>
      </c>
      <c r="W101" s="12" t="str">
        <v>D011 PDF 7–8;15–17;19–21；§3.2–3.3;Table 4;§5.4;Appendix A Algorithms 1–3</v>
      </c>
      <c r="X101" s="12" t="str">
        <v>已确认字段已用于新版稿件。未确定字段保留原值并在稿件标 †。原文核验由 Codex 完成；本次记录作者裁决，不代表独立人工复核。</v>
      </c>
      <c r="Y101" s="12" t="str">
        <v>Codex（依据作者裁决）</v>
      </c>
      <c r="Z101" s="12" t="str">
        <v>2026-10-15</v>
      </c>
    </row>
    <row r="102">
      <c r="A102" s="13" t="inlineStr">
        <is>
          <t>建议核</t>
        </is>
      </c>
      <c r="B102" s="10" t="n">
        <v>104</v>
      </c>
      <c r="C102" s="10" t="inlineStr">
        <is>
          <t>S080-M1</t>
        </is>
      </c>
      <c r="D102" s="10" t="inlineStr"/>
      <c r="E102" s="10" t="inlineStr">
        <is>
          <t>Sun et al., 2023</t>
        </is>
      </c>
      <c r="F102" s="10" t="inlineStr">
        <is>
          <t>学习引导</t>
        </is>
      </c>
      <c r="G102" s="10" t="inlineStr">
        <is>
          <t>Standalone sampled-column MLCG</t>
        </is>
      </c>
      <c r="H102" s="10" t="inlineStr">
        <is>
          <t>L6</t>
        </is>
      </c>
      <c r="I102" s="10" t="inlineStr">
        <is>
          <t>NONE</t>
        </is>
      </c>
      <c r="J102" s="10" t="inlineStr">
        <is>
          <t>G5</t>
        </is>
      </c>
      <c r="K102" s="10" t="inlineStr">
        <is>
          <t>E0|E2</t>
        </is>
      </c>
      <c r="L102" s="10" t="inlineStr">
        <is>
          <t>02_参考文献/论文全文/S080_Sun_2023.pdf</t>
        </is>
      </c>
      <c r="M102" s="10" t="inlineStr">
        <is>
          <t>PDFp6§4;p9§6;p20–21AppendixB.6 || PDFp7§5.1–5.2;p18–19TableB.2</t>
        </is>
      </c>
      <c r="N102" s="10" t="inlineStr">
        <is>
          <t>p6 explicitly no optimality guarantee for restrictedMIP alone. Warmstarted traditional exactCG supplies validLPlowerbound, then restrictedMIP yields gap. FullB&amp;P explicitly beyondscope p9. Primary guarantee normalized from G5(standaloneMLCG)|G2(rootCGwarmstart); secondary conditions apply only as described.</t>
        </is>
      </c>
      <c r="O102" s="10" t="inlineStr"/>
      <c r="P102" s="12" t="inlineStr"/>
      <c r="Q102" s="12" t="inlineStr"/>
      <c r="R102" s="12" t="inlineStr"/>
      <c r="S102" s="12" t="inlineStr"/>
      <c r="T102" s="12" t="inlineStr"/>
      <c r="U102" s="12" t="inlineStr"/>
      <c r="V102" s="12" t="inlineStr"/>
      <c r="W102" s="12" t="inlineStr"/>
      <c r="X102" s="12" t="inlineStr"/>
      <c r="Y102" s="12" t="inlineStr"/>
      <c r="Z102" s="12" t="inlineStr"/>
    </row>
    <row r="103" ht="60" customHeight="1">
      <c r="A103" s="13" t="inlineStr">
        <is>
          <t>建议核</t>
        </is>
      </c>
      <c r="B103" s="10" t="n">
        <v>105</v>
      </c>
      <c r="C103" s="10" t="inlineStr">
        <is>
          <t>S080-M2</t>
        </is>
      </c>
      <c r="D103" s="10" t="inlineStr"/>
      <c r="E103" s="10" t="inlineStr">
        <is>
          <t>Sun et al., 2023</t>
        </is>
      </c>
      <c r="F103" s="10" t="inlineStr">
        <is>
          <t>学习引导</t>
        </is>
      </c>
      <c r="G103" s="10" t="inlineStr">
        <is>
          <t>MLRMH: learned pool warm-starts conventional exact root CG and restricted IP</t>
        </is>
      </c>
      <c r="H103" s="10" t="inlineStr">
        <is>
          <t>L2</t>
        </is>
      </c>
      <c r="I103" s="10" t="inlineStr">
        <is>
          <t>L6</t>
        </is>
      </c>
      <c r="J103" s="10" t="inlineStr">
        <is>
          <t>G2</t>
        </is>
      </c>
      <c r="K103" s="10" t="inlineStr">
        <is>
          <t>E0|E2</t>
        </is>
      </c>
      <c r="L103" s="10" t="inlineStr">
        <is>
          <t>02_参考文献/论文全文/S080_Sun_2023.pdf</t>
        </is>
      </c>
      <c r="M103" s="10" t="inlineStr">
        <is>
          <t>PDFp9Table2;p22TableB.5 || PDFp21AppendixB.6;p23TableB.7</t>
        </is>
      </c>
      <c r="N103" s="10" t="inlineStr">
        <is>
          <t>p6 explicitly no optimality guarantee for restrictedMIP alone. Warmstarted traditional exactCG supplies validLPlowerbound, then restrictedMIP yields gap. FullB&amp;P explicitly beyondscope p9. Primary guarantee normalized from G5(standaloneMLCG)|G2(rootCGwarmstart); secondary conditions apply only as described.</t>
        </is>
      </c>
      <c r="O103" s="10" t="inlineStr"/>
      <c r="P103" s="12" t="inlineStr"/>
      <c r="Q103" s="12" t="inlineStr"/>
      <c r="R103" s="12" t="inlineStr"/>
      <c r="S103" s="12" t="inlineStr"/>
      <c r="T103" s="12" t="str">
        <v>无法判断</v>
      </c>
      <c r="U103" s="12" t="inlineStr"/>
      <c r="V103" s="12" t="str">
        <v>D091 主机制：未确定。原值只作历史记录，暂不覆盖源文件。</v>
      </c>
      <c r="W103" s="12" t="str">
        <v>D091 PDF 6;9;20–23；§4整数解段;Table 2;Appendix B.6</v>
      </c>
      <c r="X103" s="12" t="str">
        <v>已确认字段已用于新版稿件。未确定字段保留原值并在稿件标 †。原文核验由 Codex 完成；本次记录作者裁决，不代表独立人工复核。</v>
      </c>
      <c r="Y103" s="12" t="str">
        <v>Codex（依据作者裁决）</v>
      </c>
      <c r="Z103" s="12" t="str">
        <v>2026-10-15</v>
      </c>
    </row>
    <row r="104" ht="60" customHeight="1">
      <c r="A104" s="13" t="inlineStr">
        <is>
          <t>建议核</t>
        </is>
      </c>
      <c r="B104" s="10" t="n">
        <v>106</v>
      </c>
      <c r="C104" s="10" t="inlineStr">
        <is>
          <t>S081-M1</t>
        </is>
      </c>
      <c r="D104" s="10" t="inlineStr"/>
      <c r="E104" s="10" t="inlineStr">
        <is>
          <t>Gerbaux et al., 2025</t>
        </is>
      </c>
      <c r="F104" s="10" t="inlineStr">
        <is>
          <t>学习引导</t>
        </is>
      </c>
      <c r="G104" s="10" t="inlineStr">
        <is>
          <t>Main described algorithm</t>
        </is>
      </c>
      <c r="H104" s="10" t="inlineStr">
        <is>
          <t>L4</t>
        </is>
      </c>
      <c r="I104" s="10" t="inlineStr">
        <is>
          <t>L1</t>
        </is>
      </c>
      <c r="J104" s="10" t="inlineStr">
        <is>
          <t>G5</t>
        </is>
      </c>
      <c r="K104" s="10" t="inlineStr">
        <is>
          <t>E0|E2|E3</t>
        </is>
      </c>
      <c r="L104" s="10" t="inlineStr">
        <is>
          <t>02_参考文献/论文全文/S081_Gerbaux_2025.pdf</t>
        </is>
      </c>
      <c r="M104" s="10" t="inlineStr">
        <is>
          <t>PDF pp5–8,§4.2–5.3 || PDF p7§5.2; p8Table2; p9§6.4 || PDF p1abstract, pp11–12 Tables5–6 || PDF pp11–12§6.4.4,Table6 || PDF p11Table4</t>
        </is>
      </c>
      <c r="N104" s="10" t="inlineStr">
        <is>
          <t>No full-network restoration. Basic solver itself prematurely stops CG if RMP improvement&lt;10 over5iterations and uses one-child diving decisions; separate exact relaxed LP solve provides evaluation bound.</t>
        </is>
      </c>
      <c r="O104" s="10" t="inlineStr"/>
      <c r="P104" s="12" t="inlineStr"/>
      <c r="Q104" s="12" t="inlineStr"/>
      <c r="R104" s="12" t="inlineStr"/>
      <c r="S104" s="12" t="inlineStr"/>
      <c r="T104" s="12" t="inlineStr"/>
      <c r="U104" s="12" t="str">
        <v>需改</v>
      </c>
      <c r="V104" s="12" t="str">
        <v>D012 证据范围：E0|E3</v>
      </c>
      <c r="W104" s="12" t="str">
        <v>D012 PDF 5;7–12；§4.2–4.3;§5.2;§6.3–6.4;Tables 3–6</v>
      </c>
      <c r="X104" s="12" t="str">
        <v>已确认字段已用于新版稿件。未确定字段保留原值并在稿件标 †。原文核验由 Codex 完成；本次记录作者裁决，不代表独立人工复核。</v>
      </c>
      <c r="Y104" s="12" t="str">
        <v>Codex（依据作者裁决）</v>
      </c>
      <c r="Z104" s="12" t="str">
        <v>2026-10-15</v>
      </c>
    </row>
    <row r="105" ht="60" customHeight="1">
      <c r="A105" s="13" t="inlineStr">
        <is>
          <t>建议核</t>
        </is>
      </c>
      <c r="B105" s="10" t="n">
        <v>107</v>
      </c>
      <c r="C105" s="10" t="inlineStr">
        <is>
          <t>S082-M1</t>
        </is>
      </c>
      <c r="D105" s="10" t="inlineStr"/>
      <c r="E105" s="10" t="inlineStr">
        <is>
          <t>Babaki et al., 2022</t>
        </is>
      </c>
      <c r="F105" s="10" t="inlineStr">
        <is>
          <t>学习引导</t>
        </is>
      </c>
      <c r="G105" s="10" t="inlineStr">
        <is>
          <t>Main described algorithm</t>
        </is>
      </c>
      <c r="H105" s="10" t="inlineStr">
        <is>
          <t>L2</t>
        </is>
      </c>
      <c r="I105" s="10" t="inlineStr">
        <is>
          <t>L6</t>
        </is>
      </c>
      <c r="J105" s="10" t="inlineStr">
        <is>
          <t>G4</t>
        </is>
      </c>
      <c r="K105" s="10" t="inlineStr">
        <is>
          <t>E0|E2</t>
        </is>
      </c>
      <c r="L105" s="10" t="inlineStr">
        <is>
          <t>02_参考文献/论文全文/S082_Babaki_UNVERIFIED.pdf</t>
        </is>
      </c>
      <c r="M105" s="10" t="inlineStr">
        <is>
          <t>PDFpp3–5§3.1–3.2,Eq9–12,20–25 || PDFp6Table1and§4 || PDFp7§5</t>
        </is>
      </c>
      <c r="N105" s="10" t="inlineStr">
        <is>
          <t>QPexplicitlymaintainsRMPdualfeasibility and RMPoptimalobjective(p3Eq9–12,p5);exactpricingoverfullcolumndomain and nonnegativeRC certifiesLP(p4). UnconstrainedMSE/KLDablationsnotguaranteedoptimalduals.</t>
        </is>
      </c>
      <c r="O105" s="10" t="inlineStr"/>
      <c r="P105" s="12" t="inlineStr"/>
      <c r="Q105" s="12" t="inlineStr"/>
      <c r="R105" s="12" t="inlineStr"/>
      <c r="S105" s="12" t="str">
        <v>需改</v>
      </c>
      <c r="T105" s="12" t="inlineStr"/>
      <c r="U105" s="12" t="inlineStr"/>
      <c r="V105" s="12" t="str">
        <v>D071 次层：NONE</v>
      </c>
      <c r="W105" s="12" t="str">
        <v>D071 PDF 3–7；§3.1–3.2 Eqs.(9)–(12),(20)–(25);§4 Tables 1–3;§5</v>
      </c>
      <c r="X105" s="12" t="str">
        <v>已确认字段已用于新版稿件。未确定字段保留原值并在稿件标 †。原文核验由 Codex 完成；本次记录作者裁决，不代表独立人工复核。</v>
      </c>
      <c r="Y105" s="12" t="str">
        <v>Codex（依据作者裁决）</v>
      </c>
      <c r="Z105" s="12" t="str">
        <v>2026-10-15</v>
      </c>
    </row>
    <row r="106" ht="60" customHeight="1">
      <c r="A106" s="13" t="inlineStr">
        <is>
          <t>建议核</t>
        </is>
      </c>
      <c r="B106" s="10" t="n">
        <v>109</v>
      </c>
      <c r="C106" s="10" t="inlineStr">
        <is>
          <t>S084-M1</t>
        </is>
      </c>
      <c r="D106" s="10" t="inlineStr"/>
      <c r="E106" s="10" t="inlineStr">
        <is>
          <t>Dolatkhah et al., 2026</t>
        </is>
      </c>
      <c r="F106" s="10" t="inlineStr">
        <is>
          <t>学习引导</t>
        </is>
      </c>
      <c r="G106" s="10" t="inlineStr">
        <is>
          <t>Bandit GA initial-column generator</t>
        </is>
      </c>
      <c r="H106" s="10" t="inlineStr">
        <is>
          <t>L2</t>
        </is>
      </c>
      <c r="I106" s="10" t="inlineStr">
        <is>
          <t>L5</t>
        </is>
      </c>
      <c r="J106" s="10" t="inlineStr">
        <is>
          <t>G1</t>
        </is>
      </c>
      <c r="K106" s="10" t="inlineStr">
        <is>
          <t>E2</t>
        </is>
      </c>
      <c r="L106" s="10" t="inlineStr">
        <is>
          <t>02_参考文献/论文全文/S084_Dolatkhah_2026.pdf</t>
        </is>
      </c>
      <c r="M106" s="10" t="inlineStr">
        <is>
          <t>PDF pp12–14 §§6.2–6.3; Appendix2 pp37–40 and Appendix4 pp41–42 || PDF pp16–18 §7.3 Tables5–8 || PDF pp18–19 §7.4.1, Tables9–10; p22 Table13 || PDF p19 Table10; p22 Table13 || PDF p15 §7.1; p42 Appendix4A.4 versus p16§7.3.1</t>
        </is>
      </c>
      <c r="N106" s="10" t="inlineStr">
        <is>
          <t>Learning only supplies feasible initial columns; it does not delete pricing choices. Subsequent full-domain MIP pricing can certify CG only when conclusively finished. Empirical large runs all hit7200s and solve final restricted IP, so overall outputs are heuristic G5 and no completeB&amp;P evidence.</t>
        </is>
      </c>
      <c r="O106" s="10" t="inlineStr"/>
      <c r="P106" s="12" t="inlineStr"/>
      <c r="Q106" s="12" t="inlineStr"/>
      <c r="R106" s="12" t="inlineStr"/>
      <c r="S106" s="12" t="str">
        <v>需改</v>
      </c>
      <c r="T106" s="12" t="inlineStr"/>
      <c r="U106" s="12" t="inlineStr"/>
      <c r="V106" s="12" t="str">
        <v>D072 次层：NONE</v>
      </c>
      <c r="W106" s="12" t="str">
        <v>D072 PDF 12–14;16;18–19;42；§6.1–6.3;§7.3.1;§7.4;Table10;Appendix4 A.4</v>
      </c>
      <c r="X106" s="12" t="str">
        <v>已确认字段已用于新版稿件。未确定字段保留原值并在稿件标 †。原文核验由 Codex 完成；本次记录作者裁决，不代表独立人工复核。</v>
      </c>
      <c r="Y106" s="12" t="str">
        <v>Codex（依据作者裁决）</v>
      </c>
      <c r="Z106" s="12" t="str">
        <v>2026-10-15</v>
      </c>
    </row>
    <row r="107" ht="60" customHeight="1">
      <c r="A107" s="13" t="inlineStr">
        <is>
          <t>建议核</t>
        </is>
      </c>
      <c r="B107" s="10" t="n">
        <v>113</v>
      </c>
      <c r="C107" s="10" t="inlineStr">
        <is>
          <t>S087-M1</t>
        </is>
      </c>
      <c r="D107" s="10" t="inlineStr"/>
      <c r="E107" s="10" t="inlineStr">
        <is>
          <t>Fang et al., 2023</t>
        </is>
      </c>
      <c r="F107" s="10" t="inlineStr">
        <is>
          <t>学习引导</t>
        </is>
      </c>
      <c r="G107" s="10" t="inlineStr">
        <is>
          <t>Main described algorithm</t>
        </is>
      </c>
      <c r="H107" s="10" t="inlineStr">
        <is>
          <t>L6</t>
        </is>
      </c>
      <c r="I107" s="10" t="inlineStr">
        <is>
          <t>NONE</t>
        </is>
      </c>
      <c r="J107" s="10" t="inlineStr">
        <is>
          <t>G2</t>
        </is>
      </c>
      <c r="K107" s="10" t="inlineStr">
        <is>
          <t>E0|E2</t>
        </is>
      </c>
      <c r="L107" s="10" t="inlineStr">
        <is>
          <t>02_参考文献/论文全文/S087_Fang_2023.pdf</t>
        </is>
      </c>
      <c r="M107" s="10" t="inlineStr">
        <is>
          <t>PDF p.2 §III; pp.3–5 §IV and §V.A–C || PDF p.6 Table I(a), notes 1–2; p.4 §V.A–B || PDF p.5 §V.D, Fig.3; p.6 conclusion</t>
        </is>
      </c>
      <c r="N107" s="10" t="inlineStr">
        <is>
          <t>PDF pp.2,4–5: full knapsack SP remains active and may regenerate deleted columns; only zero-valued RMP columns removed, preserving current feasibility. No-negative-column termination from normal pricing. Ie&gt;Ne and randomized deletions said to aim at convergence, no theorem proving it.</t>
        </is>
      </c>
      <c r="O107" s="10" t="inlineStr"/>
      <c r="P107" s="12" t="inlineStr"/>
      <c r="Q107" s="12" t="inlineStr"/>
      <c r="R107" s="12" t="inlineStr"/>
      <c r="S107" s="12" t="inlineStr"/>
      <c r="T107" s="12" t="str">
        <v>无法判断</v>
      </c>
      <c r="U107" s="12" t="str">
        <v>无法判断</v>
      </c>
      <c r="V107" s="12" t="str">
        <v>D096 主机制；证据范围：未确定。原值只作历史记录，暂不覆盖源文件。</v>
      </c>
      <c r="W107" s="12" t="str">
        <v>D096 PDF 2–6；§III;§IV;§V.A–D;TableI;Figs3–5</v>
      </c>
      <c r="X107" s="12" t="str">
        <v>已确认字段已用于新版稿件。未确定字段保留原值并在稿件标 †。原文核验由 Codex 完成；本次记录作者裁决，不代表独立人工复核。</v>
      </c>
      <c r="Y107" s="12" t="str">
        <v>Codex（依据作者裁决）</v>
      </c>
      <c r="Z107" s="12" t="str">
        <v>2026-10-15</v>
      </c>
    </row>
    <row r="108">
      <c r="A108" s="13" t="inlineStr">
        <is>
          <t>建议核</t>
        </is>
      </c>
      <c r="B108" s="10" t="n">
        <v>117</v>
      </c>
      <c r="C108" s="10" t="inlineStr">
        <is>
          <t>S089-M3</t>
        </is>
      </c>
      <c r="D108" s="10" t="inlineStr"/>
      <c r="E108" s="10" t="inlineStr">
        <is>
          <t>Tahir et al., 2021</t>
        </is>
      </c>
      <c r="F108" s="10" t="inlineStr">
        <is>
          <t>学习引导</t>
        </is>
      </c>
      <c r="G108" s="10" t="inlineStr">
        <is>
          <t>Overall I2CGp integral column-generation heuristic</t>
        </is>
      </c>
      <c r="H108" s="10" t="inlineStr">
        <is>
          <t>L4</t>
        </is>
      </c>
      <c r="I108" s="10" t="inlineStr">
        <is>
          <t>L5</t>
        </is>
      </c>
      <c r="J108" s="10" t="inlineStr">
        <is>
          <t>G5</t>
        </is>
      </c>
      <c r="K108" s="10" t="inlineStr">
        <is>
          <t>E0|E2</t>
        </is>
      </c>
      <c r="L108" s="10" t="inlineStr">
        <is>
          <t>02_参考文献/论文全文/S089_Tahir_2021.pdf</t>
        </is>
      </c>
      <c r="M108" s="10" t="inlineStr">
        <is>
          <t>PDFp18Table6;PDFpp16–17§4.3.1 || PDFp19Table7;PDFp17§4.3.2</t>
        </is>
      </c>
      <c r="N108" s="10" t="inlineStr">
        <is>
          <t>p13 insufficientimprovement restoresfullSP;maxFailstop;RMPnotnecessarilyoptimal because fractionalCPdirection plus failedzooming has no branchrecourse. p15 CPBS unbounded,adds no new dominatedlabels and does not restrict pathfeasibility. Overallheuristic. Primary guarantee normalized from G2|G5; secondary conditions apply only as described.</t>
        </is>
      </c>
      <c r="O108" s="10" t="inlineStr"/>
      <c r="P108" s="12" t="inlineStr"/>
      <c r="Q108" s="12" t="inlineStr"/>
      <c r="R108" s="12" t="inlineStr"/>
      <c r="S108" s="12" t="inlineStr"/>
      <c r="T108" s="12" t="inlineStr"/>
      <c r="U108" s="12" t="inlineStr"/>
      <c r="V108" s="12" t="inlineStr"/>
      <c r="W108" s="12" t="inlineStr"/>
      <c r="X108" s="12" t="inlineStr"/>
      <c r="Y108" s="12" t="inlineStr"/>
      <c r="Z108" s="12" t="inlineStr"/>
    </row>
    <row r="109" ht="60" customHeight="1">
      <c r="A109" s="13" t="inlineStr">
        <is>
          <t>建议核</t>
        </is>
      </c>
      <c r="B109" s="10" t="n">
        <v>118</v>
      </c>
      <c r="C109" s="10" t="inlineStr">
        <is>
          <t>S090-M1</t>
        </is>
      </c>
      <c r="D109" s="10" t="inlineStr"/>
      <c r="E109" s="10" t="inlineStr">
        <is>
          <t>Li et al., 2026</t>
        </is>
      </c>
      <c r="F109" s="10" t="inlineStr">
        <is>
          <t>学习引导</t>
        </is>
      </c>
      <c r="G109" s="10" t="inlineStr">
        <is>
          <t>Main described algorithm</t>
        </is>
      </c>
      <c r="H109" s="10" t="inlineStr">
        <is>
          <t>L2</t>
        </is>
      </c>
      <c r="I109" s="10" t="inlineStr">
        <is>
          <t>L6</t>
        </is>
      </c>
      <c r="J109" s="10" t="inlineStr">
        <is>
          <t>GU</t>
        </is>
      </c>
      <c r="K109" s="10" t="inlineStr">
        <is>
          <t>E0|E2</t>
        </is>
      </c>
      <c r="L109" s="10" t="inlineStr">
        <is>
          <t>02_参考文献/论文全文/S090_Li_2026.pdf</t>
        </is>
      </c>
      <c r="M109" s="10" t="inlineStr">
        <is>
          <t>PDF pp5–10§4.1–4.2,Algorithm1 || PDF p9Algorithm1lines14–27,p10Step10,p11ML-CGoriginalselectionparagraph || PDF pp7–8training andROC,Figure4 || PDF p1abstract,p11§5.2,p12Figure5 visuallyinspected || PDF p15§5.3,Figures12–13 visuallyinspected</t>
        </is>
      </c>
      <c r="N109" s="10" t="inlineStr">
        <is>
          <t>Periodic exactsolver calls stated,plusp11claimsfinalexactRMP/pricing. HoweverAlgorithm1pp9–10stops wheneverpredictediteration findsnocandidate anddoesnotforcefinalexactcall. Mapping primalbinarypredictions tocontinuousdualvalues isnotresolved. Cannotconfirmglobalcertificate.</t>
        </is>
      </c>
      <c r="O109" s="10" t="inlineStr"/>
      <c r="P109" s="12" t="inlineStr"/>
      <c r="Q109" s="12" t="inlineStr"/>
      <c r="R109" s="12" t="inlineStr"/>
      <c r="S109" s="12" t="inlineStr"/>
      <c r="T109" s="12" t="str">
        <v>无法判断</v>
      </c>
      <c r="U109" s="12" t="inlineStr"/>
      <c r="V109" s="12" t="str">
        <v>D099 主机制：未确定。原值只作历史记录，暂不覆盖源文件。</v>
      </c>
      <c r="W109" s="12" t="str">
        <v>D099 PDF 7–12;15；§4.1–4.2;Algorithm1;Step8;§5.2–5.3;Figs4–5,12–13</v>
      </c>
      <c r="X109" s="12" t="str">
        <v>已确认字段已用于新版稿件。未确定字段保留原值并在稿件标 †。原文核验由 Codex 完成；本次记录作者裁决，不代表独立人工复核。</v>
      </c>
      <c r="Y109" s="12" t="str">
        <v>Codex（依据作者裁决）</v>
      </c>
      <c r="Z109" s="12" t="str">
        <v>2026-10-15</v>
      </c>
    </row>
    <row r="110">
      <c r="A110" s="13" t="inlineStr">
        <is>
          <t>建议核</t>
        </is>
      </c>
      <c r="B110" s="10" t="n">
        <v>120</v>
      </c>
      <c r="C110" s="10" t="inlineStr">
        <is>
          <t>S092-M1</t>
        </is>
      </c>
      <c r="D110" s="10" t="inlineStr"/>
      <c r="E110" s="10" t="inlineStr">
        <is>
          <t>Kumar and Aghalaya, 2026</t>
        </is>
      </c>
      <c r="F110" s="10" t="inlineStr">
        <is>
          <t>学习引导</t>
        </is>
      </c>
      <c r="G110" s="10" t="inlineStr">
        <is>
          <t>Main described algorithm</t>
        </is>
      </c>
      <c r="H110" s="10" t="inlineStr">
        <is>
          <t>L6</t>
        </is>
      </c>
      <c r="I110" s="10" t="inlineStr">
        <is>
          <t>L3|L5</t>
        </is>
      </c>
      <c r="J110" s="10" t="inlineStr">
        <is>
          <t>G5</t>
        </is>
      </c>
      <c r="K110" s="10" t="inlineStr">
        <is>
          <t>E2</t>
        </is>
      </c>
      <c r="L110" s="10" t="inlineStr">
        <is>
          <t>02_参考文献/论文全文/S092_Kumar_2026.pdf</t>
        </is>
      </c>
      <c r="M110" s="10" t="inlineStr">
        <is>
          <t>PDF pp9–14 §§3.3–4.5, Figures1–2 || PDF pp15–16 Table2 andp22Table3 || PDF p21 Figure6 and accompanyingtext; p22Table4 || PDF pp20–22 Figure5,Table3; p13§4.4 andendofPDFp28</t>
        </is>
      </c>
      <c r="N110" s="10" t="inlineStr">
        <is>
          <t>Stops onLLMrecommendation with printedlastRC&lt;epsilon, without full-domainnonnegativeRCcertificate. Restricted-IP recoveryonly. Parsefallback is syntax recovery, not an exactpricing fallback. FinalRCremainsnegative evenforbaseline labelledLPoptimal.</t>
        </is>
      </c>
      <c r="O110" s="10" t="inlineStr"/>
      <c r="P110" s="12" t="inlineStr"/>
      <c r="Q110" s="12" t="inlineStr"/>
      <c r="R110" s="12" t="inlineStr"/>
      <c r="S110" s="12" t="inlineStr"/>
      <c r="T110" s="12" t="inlineStr"/>
      <c r="U110" s="12" t="inlineStr"/>
      <c r="V110" s="12" t="inlineStr"/>
      <c r="W110" s="12" t="inlineStr"/>
      <c r="X110" s="12" t="inlineStr"/>
      <c r="Y110" s="12" t="inlineStr"/>
      <c r="Z110" s="12" t="inlineStr"/>
    </row>
    <row r="111" ht="62" customHeight="1">
      <c r="A111" s="13" t="inlineStr">
        <is>
          <t>建议核</t>
        </is>
      </c>
      <c r="B111" s="10" t="n">
        <v>121</v>
      </c>
      <c r="C111" s="10" t="inlineStr">
        <is>
          <t>S093-M1</t>
        </is>
      </c>
      <c r="D111" s="10" t="inlineStr"/>
      <c r="E111" s="10" t="inlineStr">
        <is>
          <t>Lu and Qian, 2025</t>
        </is>
      </c>
      <c r="F111" s="10" t="inlineStr">
        <is>
          <t>学习引导</t>
        </is>
      </c>
      <c r="G111" s="10" t="inlineStr">
        <is>
          <t>Main described algorithm</t>
        </is>
      </c>
      <c r="H111" s="10" t="inlineStr">
        <is>
          <t>L5</t>
        </is>
      </c>
      <c r="I111" s="10" t="inlineStr">
        <is>
          <t>L2</t>
        </is>
      </c>
      <c r="J111" s="10" t="inlineStr">
        <is>
          <t>G5</t>
        </is>
      </c>
      <c r="K111" s="10" t="inlineStr">
        <is>
          <t>E2</t>
        </is>
      </c>
      <c r="L111" s="10" t="inlineStr">
        <is>
          <t>02_参考文献/论文全文/S093_Lu_2025.pdf</t>
        </is>
      </c>
      <c r="M111" s="10" t="inlineStr">
        <is>
          <t>PDFpp2–3§2–3 || PDFp4Table1and§4</t>
        </is>
      </c>
      <c r="N111" s="10" t="inlineStr">
        <is>
          <t>OrdinaryCG describedp2 endswhennegativeRCabsent,then restrictedinteger master;pricercompletenessdeferredLiang2018 andnotprovedhere. InitialRLrouteconstruction aloneisnotcertificate;noB&amp;P.</t>
        </is>
      </c>
      <c r="O111" s="10" t="inlineStr"/>
      <c r="P111" s="12" t="inlineStr"/>
      <c r="Q111" s="12" t="str">
        <v>需改</v>
      </c>
      <c r="R111" s="12" t="str">
        <v>需改</v>
      </c>
      <c r="S111" s="12" t="str">
        <v>需改</v>
      </c>
      <c r="T111" s="12" t="str">
        <v>无法判断</v>
      </c>
      <c r="U111" s="12" t="inlineStr"/>
      <c r="V111" s="12" t="str">
        <v>D013 主层：L2
D014 次层：NONE
D015 变体描述：RL column initialization in the CG heuristic
D085 主机制：未确定。原值只作历史记录，暂不覆盖源文件。</v>
      </c>
      <c r="W111" s="12" t="str">
        <v>D013 PDF 2–4；§2–4;Table1;Fig2
D014 PDF 2–4；§2–4;Table1;Fig2
D015 PDF 2–4；§2–4;Table1;Fig2
D085 PDF 2–4；§2–4;Table1;Fig2</v>
      </c>
      <c r="X111" s="12" t="str">
        <v>已确认字段已用于新版稿件。未确定字段保留原值并在稿件标 †。原文核验由 Codex 完成；本次记录作者裁决，不代表独立人工复核。</v>
      </c>
      <c r="Y111" s="12" t="str">
        <v>Codex（依据作者裁决）</v>
      </c>
      <c r="Z111" s="12" t="str">
        <v>2026-10-15</v>
      </c>
    </row>
    <row r="112">
      <c r="A112" s="13" t="inlineStr">
        <is>
          <t>建议核</t>
        </is>
      </c>
      <c r="B112" s="10" t="n">
        <v>122</v>
      </c>
      <c r="C112" s="10" t="inlineStr">
        <is>
          <t>S094-M1</t>
        </is>
      </c>
      <c r="D112" s="10" t="inlineStr"/>
      <c r="E112" s="10" t="inlineStr">
        <is>
          <t>Ding et al., 2025</t>
        </is>
      </c>
      <c r="F112" s="10" t="inlineStr">
        <is>
          <t>学习引导</t>
        </is>
      </c>
      <c r="G112" s="10" t="inlineStr">
        <is>
          <t>Main described algorithm</t>
        </is>
      </c>
      <c r="H112" s="10" t="inlineStr">
        <is>
          <t>L6</t>
        </is>
      </c>
      <c r="I112" s="10" t="inlineStr">
        <is>
          <t>L4</t>
        </is>
      </c>
      <c r="J112" s="10" t="inlineStr">
        <is>
          <t>G5</t>
        </is>
      </c>
      <c r="K112" s="10" t="inlineStr">
        <is>
          <t>E2</t>
        </is>
      </c>
      <c r="L112" s="10" t="inlineStr">
        <is>
          <t>02_参考文献/论文全文/S094_Ding_2025.pdf</t>
        </is>
      </c>
      <c r="M112" s="10" t="inlineStr">
        <is>
          <t>PDFp5§IV.B;PDFp4Algorithm1 || PDFp6TableIV || PDFp5§IV.A/Fig5</t>
        </is>
      </c>
      <c r="N112" s="10" t="inlineStr">
        <is>
          <t>PDFp5§IV.B explicitlydefines convergenceas20consecutiveiterationswithoutobjectivechange andcallsresultoptimal;not no-negative-columncertificate. NoB&amp;P.</t>
        </is>
      </c>
      <c r="O112" s="10" t="inlineStr"/>
      <c r="P112" s="12" t="inlineStr"/>
      <c r="Q112" s="12" t="inlineStr"/>
      <c r="R112" s="12" t="inlineStr"/>
      <c r="S112" s="12" t="inlineStr"/>
      <c r="T112" s="12" t="inlineStr"/>
      <c r="U112" s="12" t="inlineStr"/>
      <c r="V112" s="12" t="inlineStr"/>
      <c r="W112" s="12" t="inlineStr"/>
      <c r="X112" s="12" t="inlineStr"/>
      <c r="Y112" s="12" t="inlineStr"/>
      <c r="Z112" s="12" t="inlineStr"/>
    </row>
    <row r="113" ht="60" customHeight="1">
      <c r="A113" s="13" t="inlineStr">
        <is>
          <t>建议核</t>
        </is>
      </c>
      <c r="B113" s="10" t="n">
        <v>123</v>
      </c>
      <c r="C113" s="10" t="inlineStr">
        <is>
          <t>S095-M1</t>
        </is>
      </c>
      <c r="D113" s="10" t="inlineStr"/>
      <c r="E113" s="10" t="inlineStr">
        <is>
          <t>Yan et al., 2026</t>
        </is>
      </c>
      <c r="F113" s="10" t="inlineStr">
        <is>
          <t>学习引导</t>
        </is>
      </c>
      <c r="G113" s="10" t="inlineStr">
        <is>
          <t>Main described algorithm</t>
        </is>
      </c>
      <c r="H113" s="10" t="inlineStr">
        <is>
          <t>L5</t>
        </is>
      </c>
      <c r="I113" s="10" t="inlineStr">
        <is>
          <t>L4</t>
        </is>
      </c>
      <c r="J113" s="10" t="inlineStr">
        <is>
          <t>G5</t>
        </is>
      </c>
      <c r="K113" s="10" t="inlineStr">
        <is>
          <t>E0|E1</t>
        </is>
      </c>
      <c r="L113" s="10" t="inlineStr">
        <is>
          <t>02_参考文献/论文全文/S095_Yan_2026.pdf</t>
        </is>
      </c>
      <c r="M113" s="10" t="inlineStr">
        <is>
          <t>PDF pp1,5–6§3.3–4;Algorithms1–2 || PDF pp10–12§6.1–6.3 || PDF p15Tables8–9 || PDF p13§6.4,Figures3–4</t>
        </is>
      </c>
      <c r="N113" s="10" t="inlineStr">
        <is>
          <t>At finite time limit beam truncation heuristic. PDF p6 permits optimality only when primaldual gapzero or an entire beam run discards no paths. Width doubling can restore enumeration. Lagrangian bound-based fixing is separately safe (G3),learned scores themselves are not bounds.</t>
        </is>
      </c>
      <c r="O113" s="10" t="inlineStr"/>
      <c r="P113" s="12" t="inlineStr"/>
      <c r="Q113" s="12" t="inlineStr"/>
      <c r="R113" s="12" t="inlineStr"/>
      <c r="S113" s="12" t="inlineStr"/>
      <c r="T113" s="12" t="inlineStr"/>
      <c r="U113" s="12" t="str">
        <v>无法判断</v>
      </c>
      <c r="V113" s="12" t="str">
        <v>D104 证据范围：未确定。原值只作历史记录，暂不覆盖源文件。</v>
      </c>
      <c r="W113" s="12" t="str">
        <v>D104 PDF 5–6;10–15；§3.3–4;Algorithm1;§6.1–6.4;Tables7–9</v>
      </c>
      <c r="X113" s="12" t="str">
        <v>已确认字段已用于新版稿件。未确定字段保留原值并在稿件标 †。原文核验由 Codex 完成；本次记录作者裁决，不代表独立人工复核。</v>
      </c>
      <c r="Y113" s="12" t="str">
        <v>Codex（依据作者裁决）</v>
      </c>
      <c r="Z113" s="12" t="str">
        <v>2026-10-15</v>
      </c>
    </row>
    <row r="114">
      <c r="A114" s="13" t="inlineStr">
        <is>
          <t>建议核</t>
        </is>
      </c>
      <c r="B114" s="10" t="n">
        <v>126</v>
      </c>
      <c r="C114" s="10" t="inlineStr">
        <is>
          <t>S098-M1</t>
        </is>
      </c>
      <c r="D114" s="10" t="inlineStr"/>
      <c r="E114" s="10" t="inlineStr">
        <is>
          <t>Muter and Öncan, 2015</t>
        </is>
      </c>
      <c r="F114" s="10" t="inlineStr">
        <is>
          <t>传统</t>
        </is>
      </c>
      <c r="G114" s="10" t="inlineStr">
        <is>
          <t>Main described algorithm</t>
        </is>
      </c>
      <c r="H114" s="10" t="inlineStr">
        <is>
          <t>L4</t>
        </is>
      </c>
      <c r="I114" s="10" t="inlineStr">
        <is>
          <t>L6</t>
        </is>
      </c>
      <c r="J114" s="10" t="inlineStr">
        <is>
          <t>G2</t>
        </is>
      </c>
      <c r="K114" s="10" t="inlineStr">
        <is>
          <t>E2</t>
        </is>
      </c>
      <c r="L114" s="10" t="inlineStr">
        <is>
          <t>02_参考文献/论文全文/S098_Muter_2015.pdf</t>
        </is>
      </c>
      <c r="M114" s="10" t="inlineStr">
        <is>
          <t>PDF pp9–13, Sections 3.2–3.3, Algorithms 1–2 || PDF pp17–19 and p26, Table 1</t>
        </is>
      </c>
      <c r="N114" s="10" t="inlineStr">
        <is>
          <t>Algorithm 2 pool, heuristic enumeration, exact enumeration; complete enumeration required before LP termination</t>
        </is>
      </c>
      <c r="O114" s="10" t="inlineStr"/>
      <c r="P114" s="12" t="inlineStr"/>
      <c r="Q114" s="12" t="inlineStr"/>
      <c r="R114" s="12" t="inlineStr"/>
      <c r="S114" s="12" t="inlineStr"/>
      <c r="T114" s="12" t="inlineStr"/>
      <c r="U114" s="12" t="inlineStr"/>
      <c r="V114" s="12" t="inlineStr"/>
      <c r="W114" s="12" t="inlineStr"/>
      <c r="X114" s="12" t="inlineStr"/>
      <c r="Y114" s="12" t="inlineStr"/>
      <c r="Z114" s="12" t="inlineStr"/>
    </row>
    <row r="115">
      <c r="A115" s="13" t="inlineStr">
        <is>
          <t>建议核</t>
        </is>
      </c>
      <c r="B115" s="10" t="n">
        <v>127</v>
      </c>
      <c r="C115" s="10" t="inlineStr">
        <is>
          <t>S098-M2</t>
        </is>
      </c>
      <c r="D115" s="10" t="inlineStr"/>
      <c r="E115" s="10" t="inlineStr">
        <is>
          <t>Muter and Öncan, 2015</t>
        </is>
      </c>
      <c r="F115" s="10" t="inlineStr">
        <is>
          <t>传统</t>
        </is>
      </c>
      <c r="G115" s="10" t="inlineStr">
        <is>
          <t>Bound-based complete column enumeration then MIP</t>
        </is>
      </c>
      <c r="H115" s="10" t="inlineStr">
        <is>
          <t>L4</t>
        </is>
      </c>
      <c r="I115" s="10" t="inlineStr">
        <is>
          <t>L6</t>
        </is>
      </c>
      <c r="J115" s="10" t="inlineStr">
        <is>
          <t>G3</t>
        </is>
      </c>
      <c r="K115" s="10" t="inlineStr">
        <is>
          <t>E2</t>
        </is>
      </c>
      <c r="L115" s="10" t="inlineStr">
        <is>
          <t>02_参考文献/论文全文/S098_Muter_2015.pdf</t>
        </is>
      </c>
      <c r="M115" s="10" t="inlineStr">
        <is>
          <t>PDF pp14–16, Section 3.4, Eq.12 || PDF pp18–20, Tables2–4 on pp27–29</t>
        </is>
      </c>
      <c r="N115" s="10" t="inlineStr">
        <is>
          <t>Valid incumbent and fully priced lower bound; all columns with reduced cost&lt;=UB-LB enumerated; complete MIP solve</t>
        </is>
      </c>
      <c r="O115" s="10" t="inlineStr"/>
      <c r="P115" s="12" t="inlineStr"/>
      <c r="Q115" s="12" t="inlineStr"/>
      <c r="R115" s="12" t="inlineStr"/>
      <c r="S115" s="12" t="inlineStr"/>
      <c r="T115" s="12" t="inlineStr"/>
      <c r="U115" s="12" t="inlineStr"/>
      <c r="V115" s="12" t="inlineStr"/>
      <c r="W115" s="12" t="inlineStr"/>
      <c r="X115" s="12" t="inlineStr"/>
      <c r="Y115" s="12" t="inlineStr"/>
      <c r="Z115" s="12" t="inlineStr"/>
    </row>
    <row r="116">
      <c r="A116" s="13" t="inlineStr">
        <is>
          <t>建议核</t>
        </is>
      </c>
      <c r="B116" s="10" t="n">
        <v>128</v>
      </c>
      <c r="C116" s="10" t="inlineStr">
        <is>
          <t>S099-M1</t>
        </is>
      </c>
      <c r="D116" s="10" t="inlineStr"/>
      <c r="E116" s="10" t="inlineStr">
        <is>
          <t>Breugem et al., 2022</t>
        </is>
      </c>
      <c r="F116" s="10" t="inlineStr">
        <is>
          <t>传统</t>
        </is>
      </c>
      <c r="G116" s="10" t="inlineStr">
        <is>
          <t>Main described algorithm</t>
        </is>
      </c>
      <c r="H116" s="10" t="inlineStr">
        <is>
          <t>L3</t>
        </is>
      </c>
      <c r="I116" s="10" t="inlineStr">
        <is>
          <t>L4|L5|L1</t>
        </is>
      </c>
      <c r="J116" s="10" t="inlineStr">
        <is>
          <t>G5</t>
        </is>
      </c>
      <c r="K116" s="10" t="inlineStr">
        <is>
          <t>E3</t>
        </is>
      </c>
      <c r="L116" s="10" t="inlineStr">
        <is>
          <t>02_参考文献/论文全文/S099_Breugem_2022.pdf</t>
        </is>
      </c>
      <c r="M116" s="10" t="inlineStr">
        <is>
          <t>PDF pp6–8, Sections5–6.1 || PDF p8, Section6.2, Eq.11 || PDF pp9–10, Section7; pp11–14 Tables4–6 and A1–A4 || PDF p11 Table4; p13 TableA1, case1 shift00:30</t>
        </is>
      </c>
      <c r="N116" s="10" t="inlineStr">
        <is>
          <t>Exact pricing variant described, but cover-based aggregated pricing may have positive reduced-cost bias (§6.2); overall diving is heuristic</t>
        </is>
      </c>
      <c r="O116" s="10" t="inlineStr"/>
      <c r="P116" s="12" t="inlineStr"/>
      <c r="Q116" s="12" t="inlineStr"/>
      <c r="R116" s="12" t="inlineStr"/>
      <c r="S116" s="12" t="inlineStr"/>
      <c r="T116" s="12" t="inlineStr"/>
      <c r="U116" s="12" t="inlineStr"/>
      <c r="V116" s="12" t="inlineStr"/>
      <c r="W116" s="12" t="inlineStr"/>
      <c r="X116" s="12" t="inlineStr"/>
      <c r="Y116" s="12" t="inlineStr"/>
      <c r="Z116" s="12" t="inlineStr"/>
    </row>
    <row r="117" ht="62" customHeight="1">
      <c r="A117" s="13" t="inlineStr">
        <is>
          <t>建议核</t>
        </is>
      </c>
      <c r="B117" s="10" t="n">
        <v>129</v>
      </c>
      <c r="C117" s="10" t="inlineStr">
        <is>
          <t>S100-M1</t>
        </is>
      </c>
      <c r="D117" s="10" t="inlineStr"/>
      <c r="E117" s="10" t="inlineStr">
        <is>
          <t>Núñez Ares et al., 2016</t>
        </is>
      </c>
      <c r="F117" s="10" t="inlineStr">
        <is>
          <t>传统</t>
        </is>
      </c>
      <c r="G117" s="10" t="inlineStr">
        <is>
          <t>Main described algorithm</t>
        </is>
      </c>
      <c r="H117" s="10" t="inlineStr">
        <is>
          <t>L6</t>
        </is>
      </c>
      <c r="I117" s="10" t="inlineStr">
        <is>
          <t>L2|L5</t>
        </is>
      </c>
      <c r="J117" s="10" t="inlineStr">
        <is>
          <t>GU</t>
        </is>
      </c>
      <c r="K117" s="10" t="inlineStr">
        <is>
          <t>E2</t>
        </is>
      </c>
      <c r="L117" s="10" t="inlineStr">
        <is>
          <t>02_参考文献/论文全文/S100_Ares_2016.pdf</t>
        </is>
      </c>
      <c r="M117" s="10" t="inlineStr">
        <is>
          <t>PDF pp7–8, Sections5.3–6.5; Algorithm1 || PDF p10, Table4, Section7.3 || PDF pp9–11, Tables3,5,7 || PDF pp13–14, AppendixC LemmaC.1 and proof</t>
        </is>
      </c>
      <c r="N117" s="10" t="inlineStr">
        <is>
          <t>MIP pricing fallback described, but fast certificate relies on AppendixC affine decomposition requiring clarification</t>
        </is>
      </c>
      <c r="O117" s="10" t="inlineStr"/>
      <c r="P117" s="12" t="inlineStr"/>
      <c r="Q117" s="12" t="inlineStr"/>
      <c r="R117" s="12" t="inlineStr"/>
      <c r="S117" s="12" t="inlineStr"/>
      <c r="T117" s="12" t="str">
        <v>无法判断</v>
      </c>
      <c r="U117" s="12" t="inlineStr"/>
      <c r="V117" s="12" t="str">
        <v>D001 主机制：GU（保留）
D100 主机制：未确定。原值只作历史记录，暂不覆盖源文件。</v>
      </c>
      <c r="W117" s="12" t="str">
        <v>D001 PDF 4;7–8;10;13–14；§5.3–6.5;Algorithm1;Table4;AppendixC
D100 PDF 4;7–8;10;13–14；§5.3–6.5;Algorithm1;Table4;AppendixC</v>
      </c>
      <c r="X117" s="12" t="str">
        <v>已确认字段已用于新版稿件。未确定字段保留原值并在稿件标 †。原文核验由 Codex 完成；本次记录作者裁决，不代表独立人工复核。</v>
      </c>
      <c r="Y117" s="12" t="str">
        <v>Codex（依据作者裁决）</v>
      </c>
      <c r="Z117" s="12" t="str">
        <v>2026-10-15</v>
      </c>
    </row>
    <row r="118">
      <c r="A118" s="13" t="inlineStr">
        <is>
          <t>建议核</t>
        </is>
      </c>
      <c r="B118" s="10" t="n">
        <v>130</v>
      </c>
      <c r="C118" s="10" t="inlineStr">
        <is>
          <t>S101-M1</t>
        </is>
      </c>
      <c r="D118" s="10" t="inlineStr"/>
      <c r="E118" s="10" t="inlineStr">
        <is>
          <t>Dupin et al., 2021</t>
        </is>
      </c>
      <c r="F118" s="10" t="inlineStr">
        <is>
          <t>传统</t>
        </is>
      </c>
      <c r="G118" s="10" t="inlineStr">
        <is>
          <t>Main described algorithm</t>
        </is>
      </c>
      <c r="H118" s="10" t="inlineStr">
        <is>
          <t>L3</t>
        </is>
      </c>
      <c r="I118" s="10" t="inlineStr">
        <is>
          <t>L5|L6</t>
        </is>
      </c>
      <c r="J118" s="10" t="inlineStr">
        <is>
          <t>G2</t>
        </is>
      </c>
      <c r="K118" s="10" t="inlineStr">
        <is>
          <t>E2</t>
        </is>
      </c>
      <c r="L118" s="10" t="inlineStr">
        <is>
          <t>02_参考文献/论文全文/S101_Dupin_2021.pdf</t>
        </is>
      </c>
      <c r="M118" s="10" t="inlineStr">
        <is>
          <t>PDF pp15–20, Algorithms5–8, Sections5.2–5.5 || PDF pp20–23, Sections5.6–5.9 || PDF p25, Section6.1.3; p33 Table7 || PDF pp29–34, Tables5–7, Figure2</t>
        </is>
      </c>
      <c r="N118" s="10" t="inlineStr">
        <is>
          <t>§5.3 returns to Algorithm5 individual full pricing for LP termination; integer recovery remains heuristic</t>
        </is>
      </c>
      <c r="O118" s="10" t="inlineStr"/>
      <c r="P118" s="12" t="inlineStr"/>
      <c r="Q118" s="12" t="inlineStr"/>
      <c r="R118" s="12" t="inlineStr"/>
      <c r="S118" s="12" t="inlineStr"/>
      <c r="T118" s="12" t="inlineStr"/>
      <c r="U118" s="12" t="inlineStr"/>
      <c r="V118" s="12" t="inlineStr"/>
      <c r="W118" s="12" t="inlineStr"/>
      <c r="X118" s="12" t="inlineStr"/>
      <c r="Y118" s="12" t="inlineStr"/>
      <c r="Z118" s="12" t="inlineStr"/>
    </row>
    <row r="119" ht="60" customHeight="1">
      <c r="A119" s="13" t="inlineStr">
        <is>
          <t>建议核</t>
        </is>
      </c>
      <c r="B119" s="10" t="n">
        <v>134</v>
      </c>
      <c r="C119" s="10" t="inlineStr">
        <is>
          <t>S103-M1</t>
        </is>
      </c>
      <c r="D119" s="10" t="inlineStr"/>
      <c r="E119" s="10" t="inlineStr">
        <is>
          <t>Chen et al., 2026</t>
        </is>
      </c>
      <c r="F119" s="10" t="inlineStr">
        <is>
          <t>传统</t>
        </is>
      </c>
      <c r="G119" s="10" t="inlineStr">
        <is>
          <t>PLA: BAC2 incumbent preprocessing plus pulse bounds and exact labeling</t>
        </is>
      </c>
      <c r="H119" s="10" t="inlineStr">
        <is>
          <t>L4</t>
        </is>
      </c>
      <c r="I119" s="10" t="inlineStr">
        <is>
          <t>L5</t>
        </is>
      </c>
      <c r="J119" s="10" t="inlineStr">
        <is>
          <t>G3</t>
        </is>
      </c>
      <c r="K119" s="10" t="inlineStr">
        <is>
          <t>E1</t>
        </is>
      </c>
      <c r="L119" s="10" t="inlineStr">
        <is>
          <t>02_参考文献/论文全文/CL014_Chen_2026.pdf</t>
        </is>
      </c>
      <c r="M119" s="10" t="inlineStr">
        <is>
          <t>PDF pp.1–5, title/watermark and §1–2 || PDF pp.4–5 §2; pp.17–19 §4.3 || PDF pp.12–14 §4.1–4.2.1, Algorithm 1; pp.22–24 §5.3 || PDF p.16 §4.2.2; p.17 Algorithm 4; pp.18–19 §4.3.2 || PDF pp.8–11 §3, Theorems 1–4 and Tables 1–2 || PDF pp.7–8 Models 1–2; pp.11–16 §3.2.2 and §4.2.1; pp.20–22 §5.2 || PDF pp.19–21 §5.1 and Table 3 || PDF pp.21–22 §5.2 and Table 4 || PDF pp.22–23 §5.3.1 and Table 5 || PDF pp.23–25 §5.3.2 and Table 6 || PDF pp.24–26 §5.3.2, Tables6–7 || PDF pp.24–25 §5.3.2 and Table6 || PDF pp.10,16,20–25 and27–28</t>
        </is>
      </c>
      <c r="N119" s="10" t="inlineStr">
        <is>
          <t>No prediction restriction/fallback. Either branch-and-cut proves optimum during preprocessing, or complete labeling returns best feasible incumbent when no active label remains. This certificate requires every discarded label to be infeasible, dominated by an extension-compatible label, or bounded by a valid lower bound at least equal to incumbent. A 300 s timeout is not a certificate.</t>
        </is>
      </c>
      <c r="O119" s="10" t="inlineStr"/>
      <c r="P119" s="12" t="inlineStr"/>
      <c r="Q119" s="12" t="inlineStr"/>
      <c r="R119" s="12" t="inlineStr"/>
      <c r="S119" s="12" t="inlineStr"/>
      <c r="T119" s="12" t="str">
        <v>无法判断</v>
      </c>
      <c r="U119" s="12" t="inlineStr"/>
      <c r="V119" s="12" t="str">
        <v>D101 主机制：未确定。原值只作历史记录，暂不覆盖源文件。</v>
      </c>
      <c r="W119" s="12" t="str">
        <v>D101 PDF 12–19;22–25；§4;Algorithms1,4;§5.3;Table6</v>
      </c>
      <c r="X119" s="12" t="str">
        <v>已确认字段已用于新版稿件。未确定字段保留原值并在稿件标 †。原文核验由 Codex 完成；本次记录作者裁决，不代表独立人工复核。</v>
      </c>
      <c r="Y119" s="12" t="str">
        <v>Codex（依据作者裁决）</v>
      </c>
      <c r="Z119" s="12" t="str">
        <v>2026-10-15</v>
      </c>
    </row>
    <row r="120">
      <c r="A120" s="13" t="inlineStr">
        <is>
          <t>建议核</t>
        </is>
      </c>
      <c r="B120" s="10" t="n">
        <v>138</v>
      </c>
      <c r="C120" s="10" t="inlineStr">
        <is>
          <t>S104-M1</t>
        </is>
      </c>
      <c r="D120" s="10" t="inlineStr"/>
      <c r="E120" s="10" t="inlineStr">
        <is>
          <t>Jin and Yu, 2023</t>
        </is>
      </c>
      <c r="F120" s="10" t="inlineStr">
        <is>
          <t>学习引导</t>
        </is>
      </c>
      <c r="G120" s="10" t="inlineStr">
        <is>
          <t>PCD preprocessing, classifier stopping and learned path construction</t>
        </is>
      </c>
      <c r="H120" s="10" t="inlineStr">
        <is>
          <t>L5</t>
        </is>
      </c>
      <c r="I120" s="10" t="inlineStr">
        <is>
          <t>L4</t>
        </is>
      </c>
      <c r="J120" s="10" t="inlineStr">
        <is>
          <t>G5</t>
        </is>
      </c>
      <c r="K120" s="10" t="inlineStr">
        <is>
          <t>E0|E1</t>
        </is>
      </c>
      <c r="L120" s="10" t="inlineStr">
        <is>
          <t>02_参考文献/论文全文/CL026_Jin_2023.pdf</t>
        </is>
      </c>
      <c r="M120" s="10" t="inlineStr">
        <is>
          <t>PDF pp. 1–2 (printed 62–63), Sections II–III, Figure 1 || PDF pp. 3–5 (printed 64–66), Sections III.B–C, Algorithm 1 || PDF p. 6 (printed 67), Sections IV.A–C || PDF p. 6 (printed 67), Table I and evaluation paragraph || PDF p. 6 (printed 67), Table I and last evaluation paragraph</t>
        </is>
      </c>
      <c r="N120" s="10" t="inlineStr">
        <is>
          <t>A negative classifier prediction returns the preprocessing incumbent without an exact fallback; classification accuracy is not a certificate of absence of an improving path</t>
        </is>
      </c>
      <c r="O120" s="10" t="inlineStr"/>
      <c r="P120" s="12" t="inlineStr"/>
      <c r="Q120" s="12" t="inlineStr"/>
      <c r="R120" s="12" t="inlineStr"/>
      <c r="S120" s="12" t="inlineStr"/>
      <c r="T120" s="12" t="inlineStr"/>
      <c r="U120" s="12" t="inlineStr"/>
      <c r="V120" s="12" t="inlineStr"/>
      <c r="W120" s="12" t="inlineStr"/>
      <c r="X120" s="12" t="inlineStr"/>
      <c r="Y120" s="12" t="inlineStr"/>
      <c r="Z120" s="12" t="inlineStr"/>
    </row>
    <row r="121" ht="60" customHeight="1">
      <c r="A121" s="15" t="inlineStr">
        <is>
          <t>表1已覆盖</t>
        </is>
      </c>
      <c r="B121" s="15" t="n">
        <v>16</v>
      </c>
      <c r="C121" s="15" t="inlineStr">
        <is>
          <t>S022-M3</t>
        </is>
      </c>
      <c r="D121" s="15" t="inlineStr">
        <is>
          <t>已在表 1 裁决（R18）；完整树评估（S2）</t>
        </is>
      </c>
      <c r="E121" s="15" t="inlineStr">
        <is>
          <t>Michelini et al., 2026</t>
        </is>
      </c>
      <c r="F121" s="15" t="inlineStr">
        <is>
          <t>传统</t>
        </is>
      </c>
      <c r="G121" s="15" t="inlineStr">
        <is>
          <t>Offline irace configuration of complete B&amp;P policies</t>
        </is>
      </c>
      <c r="H121" s="15" t="inlineStr">
        <is>
          <t>L3</t>
        </is>
      </c>
      <c r="I121" s="15" t="inlineStr">
        <is>
          <t>L1|L4|L6</t>
        </is>
      </c>
      <c r="J121" s="15" t="inlineStr">
        <is>
          <t>G1</t>
        </is>
      </c>
      <c r="K121" s="15" t="inlineStr">
        <is>
          <t>E2|E3|E4</t>
        </is>
      </c>
      <c r="L121" s="15" t="inlineStr">
        <is>
          <t>02_参考文献/论文全文/S022_Michelini_2026.pdf</t>
        </is>
      </c>
      <c r="M121" s="15" t="inlineStr">
        <is>
          <t>PDF pp.17–21, §3.3,§4.1 andTable1 || PDF pp.26–30 Tables8–9 andconclusion;p.47–48 TablesA9–A10</t>
        </is>
      </c>
      <c r="N121" s="15" t="inlineStr">
        <is>
          <t>Tuningchangespoliciesbutnotintendedfeasiblecoverage; doesnotresolveimplementation/reportingconflict. HeuristicDP describedasinitialpricingstage, notsolecertifier.</t>
        </is>
      </c>
      <c r="O121" s="15" t="inlineStr">
        <is>
          <t>Prior AI proposal unresolved; human adjudication fields are blank.</t>
        </is>
      </c>
      <c r="P121" s="15" t="inlineStr"/>
      <c r="Q121" s="15" t="str">
        <v>无法判断</v>
      </c>
      <c r="R121" s="15" t="str">
        <v>无法判断</v>
      </c>
      <c r="S121" s="15" t="str">
        <v>无法判断</v>
      </c>
      <c r="T121" s="15" t="inlineStr"/>
      <c r="U121" s="15" t="inlineStr"/>
      <c r="V121" s="15" t="str">
        <v>D080 变体描述；主层；次层：未确定。原值只作历史记录，暂不覆盖源文件。</v>
      </c>
      <c r="W121" s="15" t="str">
        <v>D080 PDF PDF pp.17–23、33；§§3.3、4.1–4.2；Table 1；Appendix A</v>
      </c>
      <c r="X121" s="15" t="str">
        <v>已确认字段已用于新版稿件。未确定字段保留原值并在稿件标 †。原文核验由 Codex 完成；本次记录作者裁决，不代表独立人工复核。</v>
      </c>
      <c r="Y121" s="15" t="str">
        <v>Codex（依据作者裁决）</v>
      </c>
      <c r="Z121" s="15" t="str">
        <v>2026-10-15</v>
      </c>
    </row>
    <row r="122" ht="60" customHeight="1">
      <c r="A122" s="15" t="inlineStr">
        <is>
          <t>表1已覆盖</t>
        </is>
      </c>
      <c r="B122" s="15" t="n">
        <v>39</v>
      </c>
      <c r="C122" s="15" t="inlineStr">
        <is>
          <t>S038-M3</t>
        </is>
      </c>
      <c r="D122" s="15" t="inlineStr">
        <is>
          <t>已在表 1 裁决（R03）</t>
        </is>
      </c>
      <c r="E122" s="15" t="inlineStr">
        <is>
          <t>Martinelli et al., 2014</t>
        </is>
      </c>
      <c r="F122" s="15" t="inlineStr">
        <is>
          <t>传统</t>
        </is>
      </c>
      <c r="G122" s="15" t="inlineStr">
        <is>
          <t>Heuristic one-label pricing with exact fallback</t>
        </is>
      </c>
      <c r="H122" s="15" t="inlineStr">
        <is>
          <t>L3</t>
        </is>
      </c>
      <c r="I122" s="15" t="inlineStr">
        <is>
          <t>L5</t>
        </is>
      </c>
      <c r="J122" s="15" t="inlineStr">
        <is>
          <t>G2</t>
        </is>
      </c>
      <c r="K122" s="15" t="inlineStr">
        <is>
          <t>E2</t>
        </is>
      </c>
      <c r="L122" s="15" t="inlineStr">
        <is>
          <t>02_参考文献/论文全文/S038_Martinelli_2014.pdf</t>
        </is>
      </c>
      <c r="M122" s="15" t="inlineStr">
        <is>
          <t>PDF pp.16–19 and21–22, printed15–18 and20–21, §§4.3,5,7</t>
        </is>
      </c>
      <c r="N122" s="15" t="inlineStr">
        <is>
          <t>PDF pp.16–19 and21–22, printed15–18 and20–21, §§4.3,5,7: heuristic failure invokes exact DP/DSSR; CG terminates only when exact pricing finds no negative route. Heuristic alone is not a certificate. The implementation is interrupted at2h.</t>
        </is>
      </c>
      <c r="O122" s="15" t="inlineStr">
        <is>
          <t>Prior AI proposal unresolved; human adjudication fields are blank.</t>
        </is>
      </c>
      <c r="P122" s="15" t="inlineStr"/>
      <c r="Q122" s="15" t="inlineStr"/>
      <c r="R122" s="15" t="str">
        <v>需改</v>
      </c>
      <c r="S122" s="15" t="str">
        <v>需改</v>
      </c>
      <c r="T122" s="15" t="inlineStr"/>
      <c r="U122" s="15" t="inlineStr"/>
      <c r="V122" s="15" t="str">
        <v>D054 次层：L3
D076 主层：L4</v>
      </c>
      <c r="W122" s="15" t="str">
        <v>D054 PDF 16–19, 21–22；§4.3; §5; §7
D076 PDF 16–19, 21–22；§4.3; §5; §7</v>
      </c>
      <c r="X122" s="15" t="str">
        <v>已确认字段已用于新版稿件。未确定字段保留原值并在稿件标 †。原文核验由 Codex 完成；本次记录作者裁决，不代表独立人工复核。</v>
      </c>
      <c r="Y122" s="15" t="str">
        <v>Codex（依据作者裁决）</v>
      </c>
      <c r="Z122" s="15" t="str">
        <v>2026-10-15</v>
      </c>
    </row>
    <row r="123" ht="60" customHeight="1">
      <c r="A123" s="15" t="inlineStr">
        <is>
          <t>表1已覆盖</t>
        </is>
      </c>
      <c r="B123" s="15" t="n">
        <v>41</v>
      </c>
      <c r="C123" s="15" t="inlineStr">
        <is>
          <t>S041-M1</t>
        </is>
      </c>
      <c r="D123" s="15" t="inlineStr">
        <is>
          <t>已在表 1 裁决（R21）</t>
        </is>
      </c>
      <c r="E123" s="15" t="inlineStr">
        <is>
          <t>Gondzio et al., 2013</t>
        </is>
      </c>
      <c r="F123" s="15" t="inlineStr">
        <is>
          <t>传统</t>
        </is>
      </c>
      <c r="G123" s="15" t="inlineStr">
        <is>
          <t>Primal–dual column generation method (PDCGM)</t>
        </is>
      </c>
      <c r="H123" s="15" t="inlineStr">
        <is>
          <t>L2</t>
        </is>
      </c>
      <c r="I123" s="15" t="inlineStr">
        <is>
          <t>L6</t>
        </is>
      </c>
      <c r="J123" s="15" t="inlineStr">
        <is>
          <t>G4</t>
        </is>
      </c>
      <c r="K123" s="15" t="inlineStr">
        <is>
          <t>E2</t>
        </is>
      </c>
      <c r="L123" s="15" t="inlineStr">
        <is>
          <t>02_参考文献/论文全文/S041_Gondzio_2013.pdf</t>
        </is>
      </c>
      <c r="M123" s="15" t="inlineStr">
        <is>
          <t>PDF pp.3–5, printed43–45, Definition1, Propositions3.1–3.3, Algorithm1 || PDF p.5 §4; p.8 §4.2 || PDF pp.6–7, Tables1–2 || PDF pp.8–9, Tables5–7 || PDF pp.9–10, Tables8–9 and Table8 footnote || PDF p.6 §4.1 and p.7 §4.1.2/Table3</t>
        </is>
      </c>
      <c r="N123" s="15" t="inlineStr">
        <is>
          <t>PDF pp.3–5 Props3.1–3.3, Algorithm1: known kappa bounds total optimal column weight; primal-dual feasibility and exact oracle value, epsilon=min(epsilon_max,gap/D), D&gt;1; stop global relative gap&lt;delta. Zero pricing reduced cost alone does not suffice when RMP is suboptimal.</t>
        </is>
      </c>
      <c r="O123" s="15" t="inlineStr">
        <is>
          <t>Prior AI proposal unresolved; human adjudication fields are blank.</t>
        </is>
      </c>
      <c r="P123" s="15" t="inlineStr"/>
      <c r="Q123" s="15" t="inlineStr"/>
      <c r="R123" s="15" t="inlineStr"/>
      <c r="S123" s="15" t="str">
        <v>需改</v>
      </c>
      <c r="T123" s="15" t="inlineStr"/>
      <c r="U123" s="15" t="inlineStr"/>
      <c r="V123" s="15" t="str">
        <v>D055 次层：NONE</v>
      </c>
      <c r="W123" s="15" t="str">
        <v>D055 PDF 3–5, 8；§3 Definition 1, Propositions 3.1–3.3, Algorithm 1; §4.2</v>
      </c>
      <c r="X123" s="15" t="str">
        <v>已确认字段已用于新版稿件。未确定字段保留原值并在稿件标 †。原文核验由 Codex 完成；本次记录作者裁决，不代表独立人工复核。</v>
      </c>
      <c r="Y123" s="15" t="str">
        <v>Codex（依据作者裁决）</v>
      </c>
      <c r="Z123" s="15" t="str">
        <v>2026-10-15</v>
      </c>
    </row>
    <row r="124" ht="60" customHeight="1">
      <c r="A124" s="15" t="inlineStr">
        <is>
          <t>表1已覆盖</t>
        </is>
      </c>
      <c r="B124" s="15" t="n">
        <v>45</v>
      </c>
      <c r="C124" s="15" t="inlineStr">
        <is>
          <t>S044-M1</t>
        </is>
      </c>
      <c r="D124" s="15" t="inlineStr">
        <is>
          <t>已在表 1 裁决（R02）；完整树评估（S2）</t>
        </is>
      </c>
      <c r="E124" s="15" t="inlineStr">
        <is>
          <t>Irnich et al., 2010</t>
        </is>
      </c>
      <c r="F124" s="15" t="inlineStr">
        <is>
          <t>传统</t>
        </is>
      </c>
      <c r="G124" s="15" t="inlineStr">
        <is>
          <t>Path-reduced-cost arc elimination in routing BPC</t>
        </is>
      </c>
      <c r="H124" s="15" t="inlineStr">
        <is>
          <t>L4</t>
        </is>
      </c>
      <c r="I124" s="15" t="inlineStr">
        <is>
          <t>L5|L1</t>
        </is>
      </c>
      <c r="J124" s="15" t="inlineStr">
        <is>
          <t>G3</t>
        </is>
      </c>
      <c r="K124" s="15" t="inlineStr">
        <is>
          <t>E2|E3|E4</t>
        </is>
      </c>
      <c r="L124" s="15" t="inlineStr">
        <is>
          <t>02_参考文献/论文全文/S044_Irnich_2010.pdf</t>
        </is>
      </c>
      <c r="M124" s="15" t="inlineStr">
        <is>
          <t>PDF pp.4–8, printed pp.299–303, Eqs.(4)–(5), Propositions2–4, Theorem1 || PDF pp.9–13, printed pp.304–308, §§5.1–5.2, Eq.(17) || PDF p.13, printed p.308, §6 implementation || PDF pp.13–14, printed pp.308–309, §6.1 || PDF pp.14–17, printed pp.309–312, Table2 and §§6.2–6.3 || PDF pp.16–17, printed pp.311–312, §§6.2–7</t>
        </is>
      </c>
      <c r="N124" s="15" t="inlineStr">
        <is>
          <t>PDF pp.4–8 §§3–4: fixed master-dual vector and valid conditional lower bound exceeding UB certify exclusion. The strongest-bound result assumes acyclic pricing network and fixed master duals; Theorem1 also requires integrality of x imply integrality of the extended path variables. PDF pp.11–13: complete forward/backward label sets, compatible joins and valid SPPRC relaxations are required. Midpoint-truncated bidirectional sets alone do not compute all arc-through bounds.</t>
        </is>
      </c>
      <c r="O124" s="15" t="inlineStr">
        <is>
          <t>Prior AI proposal unresolved; human adjudication fields are blank.</t>
        </is>
      </c>
      <c r="P124" s="15" t="inlineStr"/>
      <c r="Q124" s="15" t="inlineStr"/>
      <c r="R124" s="15" t="inlineStr"/>
      <c r="S124" s="15" t="str">
        <v>需改</v>
      </c>
      <c r="T124" s="15" t="inlineStr"/>
      <c r="U124" s="15" t="inlineStr"/>
      <c r="V124" s="15" t="str">
        <v>D056 次层：NONE</v>
      </c>
      <c r="W124" s="15" t="str">
        <v>D056 PDF 4, 8, 13, 15–16；§3 Eqs.(4)–(5); Proposition 5; §§6–6.3; Table 2</v>
      </c>
      <c r="X124" s="15" t="str">
        <v>已确认字段已用于新版稿件。未确定字段保留原值并在稿件标 †。原文核验由 Codex 完成；本次记录作者裁决，不代表独立人工复核。</v>
      </c>
      <c r="Y124" s="15" t="str">
        <v>Codex（依据作者裁决）</v>
      </c>
      <c r="Z124" s="15" t="str">
        <v>2026-10-15</v>
      </c>
    </row>
    <row r="125" ht="62" customHeight="1">
      <c r="A125" s="15" t="inlineStr">
        <is>
          <t>表1已覆盖</t>
        </is>
      </c>
      <c r="B125" s="15" t="n">
        <v>46</v>
      </c>
      <c r="C125" s="15" t="inlineStr">
        <is>
          <t>S045-M1</t>
        </is>
      </c>
      <c r="D125" s="15" t="inlineStr">
        <is>
          <t>已在表 1 裁决（B01）；完整树评估（S2）；Table 4 引用的研究</t>
        </is>
      </c>
      <c r="E125" s="15" t="inlineStr">
        <is>
          <t>Desaulniers et al., 2020</t>
        </is>
      </c>
      <c r="F125" s="15" t="inlineStr">
        <is>
          <t>传统</t>
        </is>
      </c>
      <c r="G125" s="15" t="inlineStr">
        <is>
          <t>Main described algorithm</t>
        </is>
      </c>
      <c r="H125" s="15" t="inlineStr">
        <is>
          <t>L4</t>
        </is>
      </c>
      <c r="I125" s="15" t="inlineStr">
        <is>
          <t>L3</t>
        </is>
      </c>
      <c r="J125" s="15" t="inlineStr">
        <is>
          <t>G3</t>
        </is>
      </c>
      <c r="K125" s="15" t="inlineStr">
        <is>
          <t>E1|E2|E4</t>
        </is>
      </c>
      <c r="L125" s="15" t="inlineStr">
        <is>
          <t>02_参考文献/论文全文/S045_Desaulniers_2020.pdf</t>
        </is>
      </c>
      <c r="M125" s="15" t="inlineStr">
        <is>
          <t>PDF pp. 3–7, Proposition 1, (1)–(4), Rules 1–3 || PDF pp. 9–11, §3.2.2, §3.4–3.5 and Algorithm 1 || PDF p. 12, §4.1.1–4.1.3 || PDF pp. 14–15, §4.3 and Table 3 || PDF pp. 16–18, §4.5, Table 5 and Figure 1 || PDF pp. 18–19, Table 6 and §4.6</t>
        </is>
      </c>
      <c r="N125" s="15" t="inlineStr">
        <is>
          <t>Proposition 1 and (1) require a valid dual lower bound and UB. Rules 1 and 3 require identical-extension dominance; the paper explicitly does not establish transfer to possibly-different-extension dominance used in some pickup-delivery/dial-a-ride pricers. Root-only fixing gives global validity; fixing at other nodes is local. Exact pricing follows failed heuristic reduced networks (§3.2.2).</t>
        </is>
      </c>
      <c r="O125" s="15" t="inlineStr">
        <is>
          <t>Prior AI proposal unresolved; human adjudication fields are blank.</t>
        </is>
      </c>
      <c r="P125" s="15" t="inlineStr"/>
      <c r="Q125" s="15" t="str">
        <v>需改</v>
      </c>
      <c r="R125" s="15" t="inlineStr"/>
      <c r="S125" s="15" t="str">
        <v>需改</v>
      </c>
      <c r="T125" s="15" t="inlineStr"/>
      <c r="U125" s="15" t="inlineStr"/>
      <c r="V125" s="15" t="str">
        <v>D057 次层：NONE
D077 变体描述：Two-arc sequence fixing with compatible label propagation and dominance</v>
      </c>
      <c r="W125" s="15" t="str">
        <v>D057 PDF 3–7, 11–18；Proposition 1; §2.1; §3.5; §§4.3–4.5
D077 PDF 3–7, 11–18；Proposition 1; §2.1; §3.5; §§4.3–4.5</v>
      </c>
      <c r="X125" s="15" t="str">
        <v>已确认字段已用于新版稿件。未确定字段保留原值并在稿件标 †。原文核验由 Codex 完成；本次记录作者裁决，不代表独立人工复核。</v>
      </c>
      <c r="Y125" s="15" t="str">
        <v>Codex（依据作者裁决）</v>
      </c>
      <c r="Z125" s="15" t="str">
        <v>2026-10-15</v>
      </c>
    </row>
    <row r="126" ht="88" customHeight="1">
      <c r="A126" s="15" t="inlineStr">
        <is>
          <t>表1已覆盖</t>
        </is>
      </c>
      <c r="B126" s="15" t="n">
        <v>61</v>
      </c>
      <c r="C126" s="15" t="inlineStr">
        <is>
          <t>S052-M1</t>
        </is>
      </c>
      <c r="D126" s="15" t="inlineStr">
        <is>
          <t>已在表 1 裁决（R17）</t>
        </is>
      </c>
      <c r="E126" s="15" t="inlineStr">
        <is>
          <t>Zhang et al., 2022</t>
        </is>
      </c>
      <c r="F126" s="15" t="inlineStr">
        <is>
          <t>学习引导</t>
        </is>
      </c>
      <c r="G126" s="15" t="inlineStr">
        <is>
          <t>ICGA with approximate area dominance</t>
        </is>
      </c>
      <c r="H126" s="15" t="inlineStr">
        <is>
          <t>L6</t>
        </is>
      </c>
      <c r="I126" s="15" t="inlineStr">
        <is>
          <t>L4|L2</t>
        </is>
      </c>
      <c r="J126" s="15" t="inlineStr">
        <is>
          <t>G5</t>
        </is>
      </c>
      <c r="K126" s="15" t="inlineStr">
        <is>
          <t>E0|E2</t>
        </is>
      </c>
      <c r="L126" s="15" t="inlineStr">
        <is>
          <t>02_参考文献/论文全文/S052_Zhang_2022.pdf</t>
        </is>
      </c>
      <c r="M126" s="15" t="inlineStr">
        <is>
          <t>PDF pp8–9 Theorem1,Corollary1,Statement1;pp12–13 Statement2,Algorithm3,§4.3 || PDF pp13–15 §§5–5.2,Figures4–5 || PDF pp15–16 §5.3 Tables3–4; Algorithm1p9 andAlgorithm3p13 || PDF p16 Table5 and§5.3 || PDF p17 §5.4 prose;AppendixBreferencedbutNOT_ACCESSED</t>
        </is>
      </c>
      <c r="N126" s="15" t="inlineStr">
        <is>
          <t>PDFpp12–13 Statement2andAlgorithm3checkallpredictednegativesandbasispositives;exactvariantinvokesTheorem1afterapproximatedominancefails. AD neverrestores exactdominance.</t>
        </is>
      </c>
      <c r="O126" s="15" t="inlineStr">
        <is>
          <t>Prior AI proposal unresolved; human adjudication fields are blank.</t>
        </is>
      </c>
      <c r="P126" s="15" t="inlineStr"/>
      <c r="Q126" s="15" t="inlineStr"/>
      <c r="R126" s="15" t="str">
        <v>正确</v>
      </c>
      <c r="S126" s="15" t="str">
        <v>需改</v>
      </c>
      <c r="T126" s="15" t="inlineStr"/>
      <c r="U126" s="15" t="inlineStr"/>
      <c r="V126" s="15" t="str">
        <v>D042 主层：L6（保留）
D065 次层：L4</v>
      </c>
      <c r="W126" s="15" t="str">
        <v>D042 PDF 8–9, 12–16；Theorems 1–2; Algorithm 1; §4.2 Fig.3; Algorithm 3; §5.2–5.3
D065 PDF 8–9, 12–16；Theorems 1–2; Algorithm 1; §4.2 Fig.3; Algorithm 3; §5.2–5.3</v>
      </c>
      <c r="X126" s="15" t="str">
        <v>已确认字段已用于新版稿件。未确定字段保留原值并在稿件标 †。原文核验由 Codex 完成；本次记录作者裁决，不代表独立人工复核。</v>
      </c>
      <c r="Y126" s="15" t="str">
        <v>Codex（依据作者裁决）</v>
      </c>
      <c r="Z126" s="15" t="str">
        <v>2026-10-15</v>
      </c>
    </row>
    <row r="127">
      <c r="A127" s="15" t="inlineStr">
        <is>
          <t>表1已覆盖</t>
        </is>
      </c>
      <c r="B127" s="15" t="n">
        <v>64</v>
      </c>
      <c r="C127" s="15" t="inlineStr">
        <is>
          <t>S053-M1</t>
        </is>
      </c>
      <c r="D127" s="15" t="inlineStr">
        <is>
          <t>已在表 1 裁决（B02）；完整树评估（S2）</t>
        </is>
      </c>
      <c r="E127" s="15" t="inlineStr">
        <is>
          <t>Shen et al., 2022</t>
        </is>
      </c>
      <c r="F127" s="15" t="inlineStr">
        <is>
          <t>学习引导</t>
        </is>
      </c>
      <c r="G127" s="15" t="inlineStr">
        <is>
          <t>MLPH with exact pricing fallback; CG and SCIP B&amp;P variants</t>
        </is>
      </c>
      <c r="H127" s="15" t="inlineStr">
        <is>
          <t>L5</t>
        </is>
      </c>
      <c r="I127" s="15" t="inlineStr">
        <is>
          <t>L6</t>
        </is>
      </c>
      <c r="J127" s="15" t="inlineStr">
        <is>
          <t>G2</t>
        </is>
      </c>
      <c r="K127" s="15" t="inlineStr">
        <is>
          <t>E1|E2|E4</t>
        </is>
      </c>
      <c r="L127" s="15" t="inlineStr">
        <is>
          <t>02_参考文献/论文全文/S053_Shen_2022.pdf</t>
        </is>
      </c>
      <c r="M127" s="15" t="inlineStr">
        <is>
          <t>PDF3, Optimal Solution Prediction / Generating Columns via Sampling / Columns Selection || PDF4, Computational budgets; PDF5, Branch-and-price Setup || PDF3–4, training and Table1; PDF6, B&amp;P setup || PDF6 Figure5 and results text || PDF7 Tables4–6 and discussion || PDF5 Figure4 and Efficiency/effectiveness trade-off</t>
        </is>
      </c>
      <c r="N127" s="15" t="inlineStr">
        <is>
          <t>CG: TSM exact MWISP when heuristic finds no NRC (PDF4); B&amp;P: t-clique certification on heuristic failure (PDF5). Time-limited unsolved CG runs are not LP certificates.</t>
        </is>
      </c>
      <c r="O127" s="15" t="inlineStr">
        <is>
          <t>Prior AI proposal unresolved; human adjudication fields are blank.</t>
        </is>
      </c>
      <c r="P127" s="15" t="inlineStr"/>
      <c r="Q127" s="15" t="inlineStr"/>
      <c r="R127" s="15" t="inlineStr"/>
      <c r="S127" s="15" t="inlineStr"/>
      <c r="T127" s="15" t="inlineStr"/>
      <c r="U127" s="15" t="inlineStr"/>
      <c r="V127" s="15" t="inlineStr"/>
      <c r="W127" s="15" t="inlineStr"/>
      <c r="X127" s="15" t="inlineStr"/>
      <c r="Y127" s="15" t="inlineStr"/>
      <c r="Z127" s="15" t="inlineStr"/>
    </row>
    <row r="128" ht="60" customHeight="1">
      <c r="A128" s="15" t="inlineStr">
        <is>
          <t>表1已覆盖</t>
        </is>
      </c>
      <c r="B128" s="15" t="n">
        <v>65</v>
      </c>
      <c r="C128" s="15" t="inlineStr">
        <is>
          <t>S054-M1</t>
        </is>
      </c>
      <c r="D128" s="15" t="inlineStr">
        <is>
          <t>已在表 1 裁决（R24）</t>
        </is>
      </c>
      <c r="E128" s="15" t="inlineStr">
        <is>
          <t>Chi et al., 2022</t>
        </is>
      </c>
      <c r="F128" s="15" t="inlineStr">
        <is>
          <t>学习引导</t>
        </is>
      </c>
      <c r="G128" s="15" t="inlineStr">
        <is>
          <t>RLCG one-column selection</t>
        </is>
      </c>
      <c r="H128" s="15" t="inlineStr">
        <is>
          <t>L6</t>
        </is>
      </c>
      <c r="I128" s="15" t="inlineStr">
        <is>
          <t>NONE</t>
        </is>
      </c>
      <c r="J128" s="15" t="inlineStr">
        <is>
          <t>G2</t>
        </is>
      </c>
      <c r="K128" s="15" t="inlineStr">
        <is>
          <t>E2</t>
        </is>
      </c>
      <c r="L128" s="15" t="inlineStr">
        <is>
          <t>02_参考文献/论文全文/S054_Chi_2022.pdf</t>
        </is>
      </c>
      <c r="M128" s="15" t="inlineStr">
        <is>
          <t>PDF pp4–6 §4 Algorithm1; p10limitations || PDF p9 §5.2 || PDF p1abstract; pp7–9 Figures3–7 || PDF p6baselineparagraph; pp8–10discussion</t>
        </is>
      </c>
      <c r="N128" s="15" t="inlineStr">
        <is>
          <t>Reprice unchangeddomain everyiteration and select one candidate;conceptualoptimality requires exact finalpricing and negative-costprogress. Algorithm1 onlysays CG converged;concrete pricing/tolerance details inmissingappendix, so implementation certificate GU.</t>
        </is>
      </c>
      <c r="O128" s="15" t="inlineStr">
        <is>
          <t>Prior AI proposal unresolved; human adjudication fields are blank.</t>
        </is>
      </c>
      <c r="P128" s="15" t="inlineStr"/>
      <c r="Q128" s="15" t="inlineStr"/>
      <c r="R128" s="15" t="inlineStr"/>
      <c r="S128" s="15" t="inlineStr"/>
      <c r="T128" s="15" t="str">
        <v>无法判断</v>
      </c>
      <c r="U128" s="15" t="inlineStr"/>
      <c r="V128" s="15" t="str">
        <v>D093 主机制：未确定。原值只作历史记录，暂不覆盖源文件。</v>
      </c>
      <c r="W128" s="15" t="str">
        <v>D093 PDF 2, 4–6, 9–10；§4; Fig.1; Algorithm 1; §§5.2–6</v>
      </c>
      <c r="X128" s="15" t="str">
        <v>已确认字段已用于新版稿件。未确定字段保留原值并在稿件标 †。原文核验由 Codex 完成；本次记录作者裁决，不代表独立人工复核。</v>
      </c>
      <c r="Y128" s="15" t="str">
        <v>Codex（依据作者裁决）</v>
      </c>
      <c r="Z128" s="15" t="str">
        <v>2026-10-15</v>
      </c>
    </row>
    <row r="129">
      <c r="A129" s="15" t="inlineStr">
        <is>
          <t>表1已覆盖</t>
        </is>
      </c>
      <c r="B129" s="15" t="n">
        <v>70</v>
      </c>
      <c r="C129" s="15" t="inlineStr">
        <is>
          <t>S056-M1</t>
        </is>
      </c>
      <c r="D129" s="15" t="inlineStr">
        <is>
          <t>已在表 1 裁决（R16）；Table 4 引用的研究</t>
        </is>
      </c>
      <c r="E129" s="15" t="inlineStr">
        <is>
          <t>Kraul et al., 2023</t>
        </is>
      </c>
      <c r="F129" s="15" t="inlineStr">
        <is>
          <t>学习引导</t>
        </is>
      </c>
      <c r="G129" s="15" t="inlineStr">
        <is>
          <t>FULL</t>
        </is>
      </c>
      <c r="H129" s="15" t="inlineStr">
        <is>
          <t>L2</t>
        </is>
      </c>
      <c r="I129" s="15" t="inlineStr">
        <is>
          <t>NONE</t>
        </is>
      </c>
      <c r="J129" s="15" t="inlineStr">
        <is>
          <t>G4</t>
        </is>
      </c>
      <c r="K129" s="15" t="inlineStr">
        <is>
          <t>E0|E2</t>
        </is>
      </c>
      <c r="L129" s="15" t="inlineStr">
        <is>
          <t>02_参考文献/论文全文/S056_Kraul_2023.pdf</t>
        </is>
      </c>
      <c r="M129" s="15" t="inlineStr">
        <is>
          <t>PDF p7 §3.1 equations5; p8 §3.2.1; p16 §4.3.1 || PDF pp10–11 §§3.2.5–4, p14 §4.2.1 Table3 || PDF pp14–16 §§4.2.2–4.2.4,Tables4–6 || PDF p16 Table7; p17 Table8 || PDF p17 §4.3.2 Table9; p18 Table10</t>
        </is>
      </c>
      <c r="N129" s="15" t="inlineStr">
        <is>
          <t>PDFp7 finite penalty disappearance required; p16 says penalties halved after failed pricing and set towardzero at end. Raw predicted duals explicitly may be dual-infeasible and are not certified lowerbounds.</t>
        </is>
      </c>
      <c r="O129" s="15" t="inlineStr"/>
      <c r="P129" s="15" t="inlineStr"/>
      <c r="Q129" s="15" t="inlineStr"/>
      <c r="R129" s="15" t="inlineStr"/>
      <c r="S129" s="15" t="inlineStr"/>
      <c r="T129" s="15" t="inlineStr"/>
      <c r="U129" s="15" t="inlineStr"/>
      <c r="V129" s="15" t="inlineStr"/>
      <c r="W129" s="15" t="inlineStr"/>
      <c r="X129" s="15" t="inlineStr"/>
      <c r="Y129" s="15" t="inlineStr"/>
      <c r="Z129" s="15" t="inlineStr"/>
    </row>
    <row r="130" ht="60" customHeight="1">
      <c r="A130" s="15" t="inlineStr">
        <is>
          <t>表1已覆盖</t>
        </is>
      </c>
      <c r="B130" s="15" t="n">
        <v>80</v>
      </c>
      <c r="C130" s="15" t="inlineStr">
        <is>
          <t>S062-M2</t>
        </is>
      </c>
      <c r="D130" s="15" t="inlineStr">
        <is>
          <t>已在表 1 裁决（R13）；只有研究族级证据，需补本变体页码；完整树评估（S2）；Table 4 引用的研究</t>
        </is>
      </c>
      <c r="E130" s="15" t="inlineStr">
        <is>
          <t>You et al., 2026b</t>
        </is>
      </c>
      <c r="F130" s="15" t="inlineStr">
        <is>
          <t>学习引导</t>
        </is>
      </c>
      <c r="G130" s="15" t="inlineStr">
        <is>
          <t>2LBB-dy with BKF</t>
        </is>
      </c>
      <c r="H130" s="15" t="inlineStr">
        <is>
          <t>L1</t>
        </is>
      </c>
      <c r="I130" s="15" t="inlineStr">
        <is>
          <t>NONE</t>
        </is>
      </c>
      <c r="J130" s="15" t="inlineStr">
        <is>
          <t>G1</t>
        </is>
      </c>
      <c r="K130" s="15" t="inlineStr">
        <is>
          <t>E4</t>
        </is>
      </c>
      <c r="L130" s="15" t="inlineStr">
        <is>
          <t>02_参考文献/论文全文/S062_You_2026.pdf</t>
        </is>
      </c>
      <c r="M130" s="15" t="inlineStr"/>
      <c r="N130" s="15" t="inlineStr">
        <is>
          <t>ML selects only branching decisions; heuristic candidate scores are not node certificates. Valid full BPC machinery retained. Proposition1–3 exact-score ranking guarantee assumes perfect monotone predictions and exact tests; implemented heuristic tests explicitly relax those ranking claims p11 without altering BPC correctness.</t>
        </is>
      </c>
      <c r="O130" s="15" t="inlineStr">
        <is>
          <t>No direct method_id join; family evidence and method description require variant-specific allocation. Prior AI proposal unresolved; human adjudication fields are blank.</t>
        </is>
      </c>
      <c r="P130" s="15" t="inlineStr"/>
      <c r="Q130" s="15" t="inlineStr"/>
      <c r="R130" s="15" t="inlineStr"/>
      <c r="S130" s="15" t="inlineStr"/>
      <c r="T130" s="15" t="inlineStr"/>
      <c r="U130" s="15" t="str">
        <v>无法判断</v>
      </c>
      <c r="V130" s="15" t="str">
        <v>D109 证据范围：未确定。原值只作历史记录，暂不覆盖源文件。</v>
      </c>
      <c r="W130" s="15" t="str">
        <v>D109 PDF 7–11、14–16、21；§3.3–4.5；§6.1 Tables2–4；§6.3 Table10</v>
      </c>
      <c r="X130" s="15" t="str">
        <v>已确认字段已用于新版稿件。未确定字段保留原值并在稿件标 †。原文核验由 Codex 完成；本次记录作者裁决，不代表独立人工复核。</v>
      </c>
      <c r="Y130" s="15" t="str">
        <v>Codex（依据作者裁决）</v>
      </c>
      <c r="Z130" s="15" t="str">
        <v>2026-10-15</v>
      </c>
    </row>
    <row r="131">
      <c r="A131" s="15" t="inlineStr">
        <is>
          <t>表1已覆盖</t>
        </is>
      </c>
      <c r="B131" s="15" t="n">
        <v>82</v>
      </c>
      <c r="C131" s="15" t="inlineStr">
        <is>
          <t>S063-M1</t>
        </is>
      </c>
      <c r="D131" s="15" t="inlineStr">
        <is>
          <t>已在表 1 裁决（R08）</t>
        </is>
      </c>
      <c r="E131" s="15" t="inlineStr">
        <is>
          <t>Wang and Khir, 2026</t>
        </is>
      </c>
      <c r="F131" s="15" t="inlineStr">
        <is>
          <t>学习引导</t>
        </is>
      </c>
      <c r="G131" s="15" t="inlineStr">
        <is>
          <t>RLSCG(S), with predicted-reference initialization unless stated</t>
        </is>
      </c>
      <c r="H131" s="15" t="inlineStr">
        <is>
          <t>L2</t>
        </is>
      </c>
      <c r="I131" s="15" t="inlineStr">
        <is>
          <t>NONE</t>
        </is>
      </c>
      <c r="J131" s="15" t="inlineStr">
        <is>
          <t>G4</t>
        </is>
      </c>
      <c r="K131" s="15" t="inlineStr">
        <is>
          <t>E2</t>
        </is>
      </c>
      <c r="L131" s="15" t="inlineStr">
        <is>
          <t>02_参考文献/论文全文/S063_Wang_2026.pdf</t>
        </is>
      </c>
      <c r="M131" s="15" t="inlineStr">
        <is>
          <t>PDF pp.6–8 §3, p.24 Proof 5; pp.10–11 §4.2.2; p.15 §5.4 || PDF pp.9–12 §4–5.1; pp.25–27 Appendices C–E || PDF pp.12–14 Tables1–3 || PDF pp.15–17 §5.4–5.5 Tables4–5</t>
        </is>
      </c>
      <c r="N131" s="15" t="inlineStr">
        <is>
          <t>SPR switches after iteration 1; APR switches after 5 iterations with relative progress &lt;1e-3; standard reference update and exact pricing restore LP convergence. Penalization mask rho=.5 eventually allows only zero penalty.</t>
        </is>
      </c>
      <c r="O131" s="15" t="inlineStr">
        <is>
          <t>Prior AI proposal unresolved; human adjudication fields are blank.</t>
        </is>
      </c>
      <c r="P131" s="15" t="inlineStr"/>
      <c r="Q131" s="15" t="inlineStr"/>
      <c r="R131" s="15" t="inlineStr"/>
      <c r="S131" s="15" t="inlineStr"/>
      <c r="T131" s="15" t="inlineStr"/>
      <c r="U131" s="15" t="inlineStr"/>
      <c r="V131" s="15" t="inlineStr"/>
      <c r="W131" s="15" t="inlineStr"/>
      <c r="X131" s="15" t="inlineStr"/>
      <c r="Y131" s="15" t="inlineStr"/>
      <c r="Z131" s="15" t="inlineStr"/>
    </row>
    <row r="132" ht="60" customHeight="1">
      <c r="A132" s="15" t="inlineStr">
        <is>
          <t>表1已覆盖</t>
        </is>
      </c>
      <c r="B132" s="15" t="n">
        <v>85</v>
      </c>
      <c r="C132" s="15" t="inlineStr">
        <is>
          <t>S065-M1</t>
        </is>
      </c>
      <c r="D132" s="15" t="inlineStr">
        <is>
          <t>已在表 1 裁决（R06）</t>
        </is>
      </c>
      <c r="E132" s="15" t="inlineStr">
        <is>
          <t>Minoli et al., 2026</t>
        </is>
      </c>
      <c r="F132" s="15" t="inlineStr">
        <is>
          <t>学习引导</t>
        </is>
      </c>
      <c r="G132" s="15" t="inlineStr">
        <is>
          <t>Promising-First Node (PFN), deviation features, tau = 0.2, k = 10</t>
        </is>
      </c>
      <c r="H132" s="15" t="inlineStr">
        <is>
          <t>L5</t>
        </is>
      </c>
      <c r="I132" s="15" t="inlineStr">
        <is>
          <t>NONE</t>
        </is>
      </c>
      <c r="J132" s="15" t="inlineStr">
        <is>
          <t>G1</t>
        </is>
      </c>
      <c r="K132" s="15" t="inlineStr">
        <is>
          <t>E0|E1</t>
        </is>
      </c>
      <c r="L132" s="15" t="inlineStr">
        <is>
          <t>02_参考文献/论文全文/S065_Minoli_2026.pdf</t>
        </is>
      </c>
      <c r="M132" s="15" t="inlineStr">
        <is>
          <t>PDF pp.9–13 §4 Algorithms2–3 || PDF pp.16–20 §7.1–7.2 Tables2–4 || PDF pp.21–22 §7.3–7.4; pp.38–39 TablesA.10–A.11 || PDF pp.24–27 §7.5 Tables6–8</t>
        </is>
      </c>
      <c r="N132" s="15" t="inlineStr">
        <is>
          <t>Exhaust all promising pools then all deferred pools with exact feasibility/dominance; exact relaxed path and iterative elementarity recovery</t>
        </is>
      </c>
      <c r="O132" s="15" t="inlineStr">
        <is>
          <t>Prior AI proposal unresolved; human adjudication fields are blank.</t>
        </is>
      </c>
      <c r="P132" s="15" t="inlineStr"/>
      <c r="Q132" s="15" t="inlineStr"/>
      <c r="R132" s="15" t="inlineStr"/>
      <c r="S132" s="15" t="inlineStr"/>
      <c r="T132" s="15" t="inlineStr"/>
      <c r="U132" s="15" t="str">
        <v>正确</v>
      </c>
      <c r="V132" s="15" t="str">
        <v>D043 证据范围：E0|E1（保留）</v>
      </c>
      <c r="W132" s="15" t="str">
        <v>D043 PDF 10–12、17、21、23–28；§4；§7.2–7.5；Tables6–8；Figure8</v>
      </c>
      <c r="X132" s="15" t="str">
        <v>已确认字段已用于新版稿件。未确定字段保留原值并在稿件标 †。原文核验由 Codex 完成；本次记录作者裁决，不代表独立人工复核。</v>
      </c>
      <c r="Y132" s="15" t="str">
        <v>Codex（依据作者裁决）</v>
      </c>
      <c r="Z132" s="15" t="str">
        <v>2026-10-15</v>
      </c>
    </row>
    <row r="133" ht="60" customHeight="1">
      <c r="A133" s="15" t="inlineStr">
        <is>
          <t>表1已覆盖</t>
        </is>
      </c>
      <c r="B133" s="15" t="n">
        <v>87</v>
      </c>
      <c r="C133" s="15" t="inlineStr">
        <is>
          <t>S066-M2</t>
        </is>
      </c>
      <c r="D133" s="15" t="inlineStr">
        <is>
          <t>已在表 1 裁决（B03）</t>
        </is>
      </c>
      <c r="E133" s="15" t="inlineStr">
        <is>
          <t>You et al., 2026a</t>
        </is>
      </c>
      <c r="F133" s="15" t="inlineStr">
        <is>
          <t>学习引导</t>
        </is>
      </c>
      <c r="G133" s="15" t="inlineStr">
        <is>
          <t>L-PDDOI-Rec</t>
        </is>
      </c>
      <c r="H133" s="15" t="inlineStr">
        <is>
          <t>L2</t>
        </is>
      </c>
      <c r="I133" s="15" t="inlineStr">
        <is>
          <t>L3</t>
        </is>
      </c>
      <c r="J133" s="15" t="inlineStr">
        <is>
          <t>G2</t>
        </is>
      </c>
      <c r="K133" s="15" t="inlineStr">
        <is>
          <t>E2</t>
        </is>
      </c>
      <c r="L133" s="15" t="inlineStr">
        <is>
          <t>02_参考文献/论文全文/S066_You_2026.pdf</t>
        </is>
      </c>
      <c r="M133" s="15" t="inlineStr">
        <is>
          <t>PDF pp13–15 Algorithm1,Proposition3; p17 §5.2; p21 §5.3; p35 CorollaryEC.1</t>
        </is>
      </c>
      <c r="N133" s="15" t="inlineStr">
        <is>
          <t>Proposition3: after exactCG, zero artificial activity in an augmented optimum certifies boundequality; CorollaryEC1 finite releases with exactactivity,no gap-targetstop. Numeric1e−3activitytest checkedagainstindependentlyrecorded baselinebound.</t>
        </is>
      </c>
      <c r="O133" s="15" t="inlineStr">
        <is>
          <t>Prior AI proposal unresolved; human adjudication fields are blank.</t>
        </is>
      </c>
      <c r="P133" s="15" t="inlineStr"/>
      <c r="Q133" s="15" t="inlineStr"/>
      <c r="R133" s="15" t="inlineStr"/>
      <c r="S133" s="15" t="str">
        <v>需改</v>
      </c>
      <c r="T133" s="15" t="inlineStr"/>
      <c r="U133" s="15" t="inlineStr"/>
      <c r="V133" s="15" t="str">
        <v>D070 次层：NONE</v>
      </c>
      <c r="W133" s="15" t="str">
        <v>D070 PDF 8、13–16、18、28、31、35；Definition1；Algorithm1；Proposition3；Tables2、EC.2、EC.4；CorollaryEC.1</v>
      </c>
      <c r="X133" s="15" t="str">
        <v>已确认字段已用于新版稿件。未确定字段保留原值并在稿件标 †。原文核验由 Codex 完成；本次记录作者裁决，不代表独立人工复核。</v>
      </c>
      <c r="Y133" s="15" t="str">
        <v>Codex（依据作者裁决）</v>
      </c>
      <c r="Z133" s="15" t="str">
        <v>2026-10-15</v>
      </c>
    </row>
    <row r="134">
      <c r="A134" s="15" t="inlineStr">
        <is>
          <t>表1已覆盖</t>
        </is>
      </c>
      <c r="B134" s="15" t="n">
        <v>91</v>
      </c>
      <c r="C134" s="15" t="inlineStr">
        <is>
          <t>S069-M1</t>
        </is>
      </c>
      <c r="D134" s="15" t="inlineStr">
        <is>
          <t>已在表 1 裁决（R10）</t>
        </is>
      </c>
      <c r="E134" s="15" t="inlineStr">
        <is>
          <t>Gao et al., 2025</t>
        </is>
      </c>
      <c r="F134" s="15" t="inlineStr">
        <is>
          <t>学习引导</t>
        </is>
      </c>
      <c r="G134" s="15" t="inlineStr">
        <is>
          <t>LCG low-conflict-density learned arc restriction + root CG + integer RMP</t>
        </is>
      </c>
      <c r="H134" s="15" t="inlineStr">
        <is>
          <t>L4</t>
        </is>
      </c>
      <c r="I134" s="15" t="inlineStr">
        <is>
          <t>L6</t>
        </is>
      </c>
      <c r="J134" s="15" t="inlineStr">
        <is>
          <t>G5</t>
        </is>
      </c>
      <c r="K134" s="15" t="inlineStr">
        <is>
          <t>E0|E2</t>
        </is>
      </c>
      <c r="L134" s="15" t="inlineStr">
        <is>
          <t>02_参考文献/论文全文/S069_Gao_2025.pdf</t>
        </is>
      </c>
      <c r="M134" s="15" t="inlineStr">
        <is>
          <t>PDF p.5 §4.1; p.6 Fig.3 visually inspected; p.7 Algorithm1; p.9 Algorithm2 line15; p.10 §§4.3.5,5.1; p.14 conclusion || PDF pp.7,15–17 §4.2 Appendices A,B,D || PDF p.12 §5.2.1 Table3 || PDF pp.10–12 §5.1 Table2 || PDF pp.8–10 Propositions1–3; p.13 Table5; pp.16–17 AppendixC</t>
        </is>
      </c>
      <c r="N134" s="15" t="inlineStr">
        <is>
          <t>Heuristic DP failure invokes exact label-setting only on reduced graph; original unrestricted pricing certificate not supplied</t>
        </is>
      </c>
      <c r="O134" s="15" t="inlineStr">
        <is>
          <t>Prior AI proposal unresolved; human adjudication fields are blank.</t>
        </is>
      </c>
      <c r="P134" s="15" t="inlineStr"/>
      <c r="Q134" s="15" t="inlineStr"/>
      <c r="R134" s="15" t="inlineStr"/>
      <c r="S134" s="15" t="inlineStr"/>
      <c r="T134" s="15" t="inlineStr"/>
      <c r="U134" s="15" t="inlineStr"/>
      <c r="V134" s="15" t="inlineStr"/>
      <c r="W134" s="15" t="inlineStr"/>
      <c r="X134" s="15" t="inlineStr"/>
      <c r="Y134" s="15" t="inlineStr"/>
      <c r="Z134" s="15" t="inlineStr"/>
    </row>
    <row r="135" ht="60" customHeight="1">
      <c r="A135" s="15" t="inlineStr">
        <is>
          <t>表1已覆盖</t>
        </is>
      </c>
      <c r="B135" s="15" t="n">
        <v>92</v>
      </c>
      <c r="C135" s="15" t="inlineStr">
        <is>
          <t>S070-M1</t>
        </is>
      </c>
      <c r="D135" s="15" t="inlineStr">
        <is>
          <t>已在表 1 裁决（R07）</t>
        </is>
      </c>
      <c r="E135" s="15" t="inlineStr">
        <is>
          <t>Sarkar et al., 2025</t>
        </is>
      </c>
      <c r="F135" s="15" t="inlineStr">
        <is>
          <t>学习引导</t>
        </is>
      </c>
      <c r="G135" s="15" t="inlineStr">
        <is>
          <t>Knowledge-distilled dual prediction for penalized stabilization</t>
        </is>
      </c>
      <c r="H135" s="15" t="inlineStr">
        <is>
          <t>L2</t>
        </is>
      </c>
      <c r="I135" s="15" t="inlineStr">
        <is>
          <t>NONE</t>
        </is>
      </c>
      <c r="J135" s="15" t="inlineStr">
        <is>
          <t>G4</t>
        </is>
      </c>
      <c r="K135" s="15" t="inlineStr">
        <is>
          <t>E0|E2</t>
        </is>
      </c>
      <c r="L135" s="15" t="inlineStr">
        <is>
          <t>02_参考文献/论文全文/S070_Sarkar_2025.pdf</t>
        </is>
      </c>
      <c r="M135" s="15" t="inlineStr">
        <is>
          <t>PDF pp.4–5 Eq4 and§3; p.10 §5.2.5; p.12 conclusion || PDF pp.6,9–10 §4,§5.2.1–5.2.4 Tables2–5 || PDF pp.10–11 Table6 and§5.2.7 Table8; p.12 Table9 || PDF p.11 §5.2.6 Table7; p.5 Proposition3.0.1/Corollary3.0.1</t>
        </is>
      </c>
      <c r="N135" s="15" t="inlineStr">
        <is>
          <t>Penalty removal is described; actual zero threshold, solver and reduced-cost tolerances, termination pseudocode and exact pricing implementation NR</t>
        </is>
      </c>
      <c r="O135" s="15" t="inlineStr">
        <is>
          <t>Prior AI proposal unresolved; human adjudication fields are blank.</t>
        </is>
      </c>
      <c r="P135" s="15" t="inlineStr"/>
      <c r="Q135" s="15" t="inlineStr"/>
      <c r="R135" s="15" t="inlineStr"/>
      <c r="S135" s="15" t="inlineStr"/>
      <c r="T135" s="15" t="str">
        <v>无法判断</v>
      </c>
      <c r="U135" s="15" t="inlineStr"/>
      <c r="V135" s="15" t="str">
        <v>D097 主机制：未确定。原值只作历史记录，暂不覆盖源文件。</v>
      </c>
      <c r="W135" s="15" t="str">
        <v>D097 PDF 4–6、9–11；Eq4；§3；Tables3–7；§5.2.5–5.2.6</v>
      </c>
      <c r="X135" s="15" t="str">
        <v>已确认字段已用于新版稿件。未确定字段保留原值并在稿件标 †。原文核验由 Codex 完成；本次记录作者裁决，不代表独立人工复核。</v>
      </c>
      <c r="Y135" s="15" t="str">
        <v>Codex（依据作者裁决）</v>
      </c>
      <c r="Z135" s="15" t="str">
        <v>2026-10-15</v>
      </c>
    </row>
    <row r="136">
      <c r="A136" s="15" t="inlineStr">
        <is>
          <t>表1已覆盖</t>
        </is>
      </c>
      <c r="B136" s="15" t="n">
        <v>111</v>
      </c>
      <c r="C136" s="15" t="inlineStr">
        <is>
          <t>S085-M1</t>
        </is>
      </c>
      <c r="D136" s="15" t="inlineStr">
        <is>
          <t>已在表 1 裁决（R15）</t>
        </is>
      </c>
      <c r="E136" s="15" t="inlineStr">
        <is>
          <t>Huo et al., 2023</t>
        </is>
      </c>
      <c r="F136" s="15" t="inlineStr">
        <is>
          <t>学习引导</t>
        </is>
      </c>
      <c r="G136" s="15" t="inlineStr">
        <is>
          <t>Main described algorithm</t>
        </is>
      </c>
      <c r="H136" s="15" t="inlineStr">
        <is>
          <t>L5</t>
        </is>
      </c>
      <c r="I136" s="15" t="inlineStr">
        <is>
          <t>L4</t>
        </is>
      </c>
      <c r="J136" s="15" t="inlineStr">
        <is>
          <t>G5</t>
        </is>
      </c>
      <c r="K136" s="15" t="inlineStr">
        <is>
          <t>E2</t>
        </is>
      </c>
      <c r="L136" s="15" t="inlineStr">
        <is>
          <t>02_参考文献/论文全文/S085_Huo_2023.pdf</t>
        </is>
      </c>
      <c r="M136" s="15" t="inlineStr">
        <is>
          <t>PDFp7§3.3;PDFp5Eq29 || PDFp1Abstract;pp8–9§4Figs4–6 || PDFpp6–8§3.1–3.3</t>
        </is>
      </c>
      <c r="N136" s="15" t="inlineStr">
        <is>
          <t>p7§3.3 exactfallbackonlyafterK nonconvergediterations. NonnegativepredictedRC acceptedasstopwithoutfullpricingcheck. p7–8claimsfeasibilityfromactivepatterns,butwrong-regionpredictionverification/repairnotdocumented;iRMP onlygeneratedcolumns.</t>
        </is>
      </c>
      <c r="O136" s="15" t="inlineStr">
        <is>
          <t>Prior AI proposal unresolved; human adjudication fields are blank.</t>
        </is>
      </c>
      <c r="P136" s="15" t="inlineStr"/>
      <c r="Q136" s="15" t="inlineStr"/>
      <c r="R136" s="15" t="inlineStr"/>
      <c r="S136" s="15" t="inlineStr"/>
      <c r="T136" s="15" t="inlineStr"/>
      <c r="U136" s="15" t="inlineStr"/>
      <c r="V136" s="15" t="inlineStr"/>
      <c r="W136" s="15" t="inlineStr"/>
      <c r="X136" s="15" t="inlineStr"/>
      <c r="Y136" s="15" t="inlineStr"/>
      <c r="Z136" s="15" t="inlineStr"/>
    </row>
    <row r="137" ht="60" customHeight="1">
      <c r="A137" s="15" t="inlineStr">
        <is>
          <t>表1已覆盖</t>
        </is>
      </c>
      <c r="B137" s="15" t="n">
        <v>112</v>
      </c>
      <c r="C137" s="15" t="inlineStr">
        <is>
          <t>S086-M1</t>
        </is>
      </c>
      <c r="D137" s="15" t="inlineStr">
        <is>
          <t>已在表 1 裁决（R12）</t>
        </is>
      </c>
      <c r="E137" s="15" t="inlineStr">
        <is>
          <t>Tekil-Ergün and Çebi, 2026</t>
        </is>
      </c>
      <c r="F137" s="15" t="inlineStr">
        <is>
          <t>学习引导</t>
        </is>
      </c>
      <c r="G137" s="15" t="inlineStr">
        <is>
          <t>Main described algorithm</t>
        </is>
      </c>
      <c r="H137" s="15" t="inlineStr">
        <is>
          <t>L6</t>
        </is>
      </c>
      <c r="I137" s="15" t="inlineStr">
        <is>
          <t>L4</t>
        </is>
      </c>
      <c r="J137" s="15" t="inlineStr">
        <is>
          <t>G5</t>
        </is>
      </c>
      <c r="K137" s="15" t="inlineStr">
        <is>
          <t>E2</t>
        </is>
      </c>
      <c r="L137" s="15" t="inlineStr">
        <is>
          <t>02_参考文献/论文全文/S086_TekilErgun_2026.pdf</t>
        </is>
      </c>
      <c r="M137" s="15" t="inlineStr">
        <is>
          <t>PDF pp10–11§4.2.3,p11 pseudocode visually inspected || PDF p16Tables5–6 || PDF pp6–7 equations1–21;p9equations22–29;pp16–18discussion</t>
        </is>
      </c>
      <c r="N137" s="15" t="inlineStr">
        <is>
          <t>No rejected-column recovery or exact full-pricing termination certificate specified. Fixed stack construction already restricts original packing space. Printed loop condition says while reduced cost is nonnegative, inconsistent with usual CG continuation.</t>
        </is>
      </c>
      <c r="O137" s="15" t="inlineStr">
        <is>
          <t>Prior AI proposal unresolved; human adjudication fields are blank.</t>
        </is>
      </c>
      <c r="P137" s="15" t="inlineStr"/>
      <c r="Q137" s="15" t="str">
        <v>无法判断</v>
      </c>
      <c r="R137" s="15" t="inlineStr"/>
      <c r="S137" s="15" t="inlineStr"/>
      <c r="T137" s="15" t="str">
        <v>无法判断</v>
      </c>
      <c r="U137" s="15" t="inlineStr"/>
      <c r="V137" s="15" t="str">
        <v>D089 变体描述；主机制：未确定。原值只作历史记录，暂不覆盖源文件。</v>
      </c>
      <c r="W137" s="15" t="str">
        <v>D089 PDF 8–11;16;18；§4.2.1–4.2.3;伪代码;Tables5–6;§8</v>
      </c>
      <c r="X137" s="15" t="str">
        <v>已确认字段已用于新版稿件。未确定字段保留原值并在稿件标 †。原文核验由 Codex 完成；本次记录作者裁决，不代表独立人工复核。</v>
      </c>
      <c r="Y137" s="15" t="str">
        <v>Codex（依据作者裁决）</v>
      </c>
      <c r="Z137" s="15" t="str">
        <v>2026-10-15</v>
      </c>
    </row>
    <row r="138">
      <c r="A138" s="15" t="inlineStr">
        <is>
          <t>表1已覆盖</t>
        </is>
      </c>
      <c r="B138" s="15" t="n">
        <v>114</v>
      </c>
      <c r="C138" s="15" t="inlineStr">
        <is>
          <t>S088-M1</t>
        </is>
      </c>
      <c r="D138" s="15" t="inlineStr">
        <is>
          <t>已在表 1 裁决（R14）；完整树评估（S2）；Table 4 引用的研究</t>
        </is>
      </c>
      <c r="E138" s="15" t="inlineStr">
        <is>
          <t>Xu et al., 2024</t>
        </is>
      </c>
      <c r="F138" s="15" t="inlineStr">
        <is>
          <t>学习引导</t>
        </is>
      </c>
      <c r="G138" s="15" t="inlineStr">
        <is>
          <t>Main described algorithm</t>
        </is>
      </c>
      <c r="H138" s="15" t="inlineStr">
        <is>
          <t>L5</t>
        </is>
      </c>
      <c r="I138" s="15" t="inlineStr">
        <is>
          <t>L6</t>
        </is>
      </c>
      <c r="J138" s="15" t="inlineStr">
        <is>
          <t>G2</t>
        </is>
      </c>
      <c r="K138" s="15" t="inlineStr">
        <is>
          <t>E2|E4</t>
        </is>
      </c>
      <c r="L138" s="15" t="inlineStr">
        <is>
          <t>02_参考文献/论文全文/S088_Xu_2024.pdf</t>
        </is>
      </c>
      <c r="M138" s="15" t="inlineStr">
        <is>
          <t>PDF pp4–6, Algorithms1–3 and §3.1–4.1 || PDF p7 Tables1–2 || PDF pp7–8 §4.3, Figure3, Tables4–5 || PDF p7 Table3</t>
        </is>
      </c>
      <c r="N138" s="15" t="inlineStr">
        <is>
          <t>PDF p6§4.1: whenever heuristic finds no negative-cost column, exact Gurobi pricing solves to optimality; only nonnegative exact optimum permits CG termination. Same CG produces bounds at every B&amp;P node.</t>
        </is>
      </c>
      <c r="O138" s="15" t="inlineStr">
        <is>
          <t>Prior AI proposal unresolved; human adjudication fields are blank.</t>
        </is>
      </c>
      <c r="P138" s="15" t="inlineStr"/>
      <c r="Q138" s="15" t="inlineStr"/>
      <c r="R138" s="15" t="inlineStr"/>
      <c r="S138" s="15" t="inlineStr"/>
      <c r="T138" s="15" t="inlineStr"/>
      <c r="U138" s="15" t="inlineStr"/>
      <c r="V138" s="15" t="inlineStr"/>
      <c r="W138" s="15" t="inlineStr"/>
      <c r="X138" s="15" t="inlineStr"/>
      <c r="Y138" s="15" t="inlineStr"/>
      <c r="Z138" s="15" t="inlineStr"/>
    </row>
    <row r="139" ht="62" customHeight="1">
      <c r="A139" s="15" t="inlineStr">
        <is>
          <t>表1已覆盖</t>
        </is>
      </c>
      <c r="B139" s="15" t="n">
        <v>115</v>
      </c>
      <c r="C139" s="15" t="inlineStr">
        <is>
          <t>S089-M1</t>
        </is>
      </c>
      <c r="D139" s="15" t="inlineStr">
        <is>
          <t>已在表 1 裁决（R19）</t>
        </is>
      </c>
      <c r="E139" s="15" t="inlineStr">
        <is>
          <t>Tahir et al., 2021</t>
        </is>
      </c>
      <c r="F139" s="15" t="inlineStr">
        <is>
          <t>学习引导</t>
        </is>
      </c>
      <c r="G139" s="15" t="inlineStr">
        <is>
          <t>CPBS internal pricing score and relaxed dominance</t>
        </is>
      </c>
      <c r="H139" s="15" t="inlineStr">
        <is>
          <t>L5</t>
        </is>
      </c>
      <c r="I139" s="15" t="inlineStr">
        <is>
          <t>NONE</t>
        </is>
      </c>
      <c r="J139" s="15" t="inlineStr">
        <is>
          <t>G1</t>
        </is>
      </c>
      <c r="K139" s="15" t="inlineStr">
        <is>
          <t>E0|E2</t>
        </is>
      </c>
      <c r="L139" s="15" t="inlineStr">
        <is>
          <t>02_参考文献/论文全文/S089_Tahir_2021.pdf</t>
        </is>
      </c>
      <c r="M139" s="15" t="inlineStr">
        <is>
          <t>PDFp13§4.1;PDFp15§4.2.2;PDFp16§4.2.3 || PDFpp9–10Table4/§3.3–3.4</t>
        </is>
      </c>
      <c r="N139" s="15" t="inlineStr">
        <is>
          <t>PDFp15§4.2.2 CPBS has no upper bound and weakens dominance, preserving pricing optimum on the given graph.</t>
        </is>
      </c>
      <c r="O139" s="15" t="inlineStr">
        <is>
          <t>Prior AI proposal unresolved; human adjudication fields are blank.</t>
        </is>
      </c>
      <c r="P139" s="15" t="inlineStr"/>
      <c r="Q139" s="15" t="inlineStr"/>
      <c r="R139" s="15" t="str">
        <v>需改</v>
      </c>
      <c r="S139" s="15" t="inlineStr"/>
      <c r="T139" s="15" t="inlineStr"/>
      <c r="U139" s="15" t="str">
        <v>正确</v>
      </c>
      <c r="V139" s="15" t="str">
        <v>D016 主层：L4
D017 证据范围：E0|E2（保留）</v>
      </c>
      <c r="W139" s="15" t="str">
        <v>D016 PDF 9–10;13;15–19；§3.3–3.4;Table4;§4.1–4.3;Tables6–7
D017 PDF 9–10;13;15–19；§3.3–3.4;Table4;§4.1–4.3;Tables6–7</v>
      </c>
      <c r="X139" s="15" t="str">
        <v>已确认字段已用于新版稿件。未确定字段保留原值并在稿件标 †。原文核验由 Codex 完成；本次记录作者裁决，不代表独立人工复核。</v>
      </c>
      <c r="Y139" s="15" t="str">
        <v>Codex（依据作者裁决）</v>
      </c>
      <c r="Z139" s="15" t="str">
        <v>2026-10-15</v>
      </c>
    </row>
    <row r="140">
      <c r="A140" s="15" t="inlineStr">
        <is>
          <t>表1已覆盖</t>
        </is>
      </c>
      <c r="B140" s="15" t="n">
        <v>124</v>
      </c>
      <c r="C140" s="15" t="inlineStr">
        <is>
          <t>S096-M1</t>
        </is>
      </c>
      <c r="D140" s="15" t="inlineStr">
        <is>
          <t>已在表 1 裁决（R04）</t>
        </is>
      </c>
      <c r="E140" s="15" t="inlineStr">
        <is>
          <t>Ermağan et al., 2024</t>
        </is>
      </c>
      <c r="F140" s="15" t="inlineStr">
        <is>
          <t>学习引导</t>
        </is>
      </c>
      <c r="G140" s="15" t="inlineStr">
        <is>
          <t>Main described algorithm</t>
        </is>
      </c>
      <c r="H140" s="15" t="inlineStr">
        <is>
          <t>L4</t>
        </is>
      </c>
      <c r="I140" s="15" t="inlineStr">
        <is>
          <t>L5|L6</t>
        </is>
      </c>
      <c r="J140" s="15" t="inlineStr">
        <is>
          <t>G5</t>
        </is>
      </c>
      <c r="K140" s="15" t="inlineStr">
        <is>
          <t>E2</t>
        </is>
      </c>
      <c r="L140" s="15" t="inlineStr">
        <is>
          <t>02_参考文献/论文全文/S096_Ermagan_2024.pdf</t>
        </is>
      </c>
      <c r="M140" s="15" t="inlineStr">
        <is>
          <t>PDF p6, Section 3.2; pp8–10, Section 4.1 || PDF p14, Section 6.3 || PDF pp15–16, Section 6.4.1 and Table 3; pp20–21, Tables B.8–B.11 || PDF p16, Section 6.4.2, Table 4</t>
        </is>
      </c>
      <c r="N140" s="15" t="inlineStr">
        <is>
          <t>No exact final pricing restoration stated; CG may stop after no learned column or 5 minutes</t>
        </is>
      </c>
      <c r="O140" s="15" t="inlineStr">
        <is>
          <t>Prior AI proposal unresolved; human adjudication fields are blank.</t>
        </is>
      </c>
      <c r="P140" s="15" t="inlineStr"/>
      <c r="Q140" s="15" t="inlineStr"/>
      <c r="R140" s="15" t="inlineStr"/>
      <c r="S140" s="15" t="inlineStr"/>
      <c r="T140" s="15" t="inlineStr"/>
      <c r="U140" s="15" t="inlineStr"/>
      <c r="V140" s="15" t="inlineStr"/>
      <c r="W140" s="15" t="inlineStr"/>
      <c r="X140" s="15" t="inlineStr"/>
      <c r="Y140" s="15" t="inlineStr"/>
      <c r="Z140" s="15" t="inlineStr"/>
    </row>
    <row r="141">
      <c r="A141" s="15" t="inlineStr">
        <is>
          <t>表1已覆盖</t>
        </is>
      </c>
      <c r="B141" s="15" t="n">
        <v>125</v>
      </c>
      <c r="C141" s="15" t="inlineStr">
        <is>
          <t>S097-M1</t>
        </is>
      </c>
      <c r="D141" s="15" t="inlineStr">
        <is>
          <t>已在表 1 裁决（R22）</t>
        </is>
      </c>
      <c r="E141" s="15" t="inlineStr">
        <is>
          <t>Zhao et al., 2026</t>
        </is>
      </c>
      <c r="F141" s="15" t="inlineStr">
        <is>
          <t>学习引导</t>
        </is>
      </c>
      <c r="G141" s="15" t="inlineStr">
        <is>
          <t>Main described algorithm</t>
        </is>
      </c>
      <c r="H141" s="15" t="inlineStr">
        <is>
          <t>L6</t>
        </is>
      </c>
      <c r="I141" s="15" t="inlineStr">
        <is>
          <t>L4</t>
        </is>
      </c>
      <c r="J141" s="15" t="inlineStr">
        <is>
          <t>G5</t>
        </is>
      </c>
      <c r="K141" s="15" t="inlineStr">
        <is>
          <t>E2</t>
        </is>
      </c>
      <c r="L141" s="15" t="inlineStr">
        <is>
          <t>02_参考文献/论文全文/S097_Zhao_2026.pdf</t>
        </is>
      </c>
      <c r="M141" s="15" t="inlineStr">
        <is>
          <t>PDF pp5–9, Sections 5.1–5.4, Eq.32 || PDF p8, Section 5.3.3; p10, Section 6 || PDF p12, Table 4 and notes; p10, Section 6.2.2 || PDF p11, Table 3</t>
        </is>
      </c>
      <c r="N141" s="15" t="inlineStr">
        <is>
          <t>Learned exclusion constraints (32) retained; no complete unfiltered re-pricing restoration; integer PSO</t>
        </is>
      </c>
      <c r="O141" s="15" t="inlineStr"/>
      <c r="P141" s="15" t="inlineStr"/>
      <c r="Q141" s="15" t="inlineStr"/>
      <c r="R141" s="15" t="inlineStr"/>
      <c r="S141" s="15" t="inlineStr"/>
      <c r="T141" s="15" t="inlineStr"/>
      <c r="U141" s="15" t="inlineStr"/>
      <c r="V141" s="15" t="inlineStr"/>
      <c r="W141" s="15" t="inlineStr"/>
      <c r="X141" s="15" t="inlineStr"/>
      <c r="Y141" s="15" t="inlineStr"/>
      <c r="Z141" s="15" t="inlineStr"/>
    </row>
    <row r="142" ht="88" customHeight="1">
      <c r="A142" s="15" t="inlineStr">
        <is>
          <t>表1已覆盖</t>
        </is>
      </c>
      <c r="B142" s="15" t="n">
        <v>131</v>
      </c>
      <c r="C142" s="15" t="inlineStr">
        <is>
          <t>S102-M1</t>
        </is>
      </c>
      <c r="D142" s="15" t="inlineStr">
        <is>
          <t>已在表 1 裁决（R05）；完整树评估（S2）</t>
        </is>
      </c>
      <c r="E142" s="15" t="inlineStr">
        <is>
          <t>Zhang et al., 2026</t>
        </is>
      </c>
      <c r="F142" s="15" t="inlineStr">
        <is>
          <t>传统</t>
        </is>
      </c>
      <c r="G142" s="15" t="inlineStr">
        <is>
          <t>CSDW-S selective Phase-II Tier E / Tier D / exact coverage cascade</t>
        </is>
      </c>
      <c r="H142" s="15" t="inlineStr">
        <is>
          <t>L3</t>
        </is>
      </c>
      <c r="I142" s="15" t="inlineStr">
        <is>
          <t>L2|L4|L6</t>
        </is>
      </c>
      <c r="J142" s="15" t="inlineStr">
        <is>
          <t>G4</t>
        </is>
      </c>
      <c r="K142" s="15" t="inlineStr">
        <is>
          <t>E2|E3|E4</t>
        </is>
      </c>
      <c r="L142" s="15" t="inlineStr">
        <is>
          <t>02_参考文献/论文全文/CL002_Zhang_2026.pdf</t>
        </is>
      </c>
      <c r="M142" s="15" t="inlineStr">
        <is>
          <t>PDF pp8–11 §3.2 Eq10–16; Assumption1; Proposition2; p16 Algorithm1 || PDF pp9–11 Eq15–16, Assumption1 and Proposition2; p16 Algorithm1 lines18–32,47–49 || PDF pp12–14 Proposition4 Eq19, Proposition5 Eq20, Theorem4 and Remark3 || PDF pp19–20 §5.2 || PDF pp20–21 §6.2 Table2; p21 visually checked || PDF pp20–21 §6.2 Table2; p21 visually checked || PDF p21 §6.2 Table2 andtimingparagraph || PDF pp19–21 §5.2 and§6.2 || PDF p22 §6.2; pp27–28 Discussion || PDF pp16–17 §5.1;pp22–23 §6.3 Figure2 || PDF p23 §6.3;Figure2p22 || PDF pp28–30 Supplementary Materials,DataAvailability,References</t>
        </is>
      </c>
      <c r="N142" s="15" t="inlineStr">
        <is>
          <t>PDF pp8–12, Eq14–18, Assumption1, Propositions1–3; p16 Algorithm1. All accepted unit lower endpoints bound the same node-restricted objective at the current raw unstabilized dual. Nested relaxations require nonnegative omitted startup costs and reserve multipliers, cost weight1, compatible model/node/dual/deadline and trusted one-sided arithmetic. Direct H+sum beta is independent of RMP objective/master budget. RMP-anchored z_R-|G|epsilon_p-epsilon_M additionally requires an accepted operational master-budget replay. Exact fallback uses trusted global lower bound, never incumbent; unknown/late/untrusted status fails closed. Both profiles use exact-all Phase I. Full-tree zero-tolerance termination additionally requires new extreme columns/no duplicates and exhaustive commitment branching; positive-tolerance validity is conditional on actual resolution, not a finite-termination theorem.</t>
        </is>
      </c>
      <c r="O142" s="15" t="inlineStr">
        <is>
          <t>Prior AI proposal unresolved; human adjudication fields are blank.</t>
        </is>
      </c>
      <c r="P142" s="15" t="inlineStr"/>
      <c r="Q142" s="15" t="inlineStr"/>
      <c r="R142" s="15" t="inlineStr"/>
      <c r="S142" s="15" t="str">
        <v>需改</v>
      </c>
      <c r="T142" s="15" t="inlineStr"/>
      <c r="U142" s="15" t="str">
        <v>无法判断</v>
      </c>
      <c r="V142" s="15" t="str">
        <v>D074 次层：L4
D105 证据范围：未确定。原值只作历史记录，暂不覆盖源文件。</v>
      </c>
      <c r="W142" s="15" t="str">
        <v>D074 PDF 8–14;16;19–22；Assumption1;Propositions1–3;Theorem4;Algorithm1;Table2
D105 PDF 8–14;16;19–22；Assumption1;Propositions1–3;Theorem4;Algorithm1;Table2</v>
      </c>
      <c r="X142" s="15" t="str">
        <v>已确认字段已用于新版稿件。未确定字段保留原值并在稿件标 †。原文核验由 Codex 完成；本次记录作者裁决，不代表独立人工复核。</v>
      </c>
      <c r="Y142" s="15" t="str">
        <v>Codex（依据作者裁决）</v>
      </c>
      <c r="Z142" s="15" t="str">
        <v>2026-10-15</v>
      </c>
    </row>
    <row r="143">
      <c r="A143" s="15" t="inlineStr">
        <is>
          <t>表1已覆盖</t>
        </is>
      </c>
      <c r="B143" s="15" t="n">
        <v>135</v>
      </c>
      <c r="C143" s="15" t="inlineStr">
        <is>
          <t>S103-M2</t>
        </is>
      </c>
      <c r="D143" s="15" t="inlineStr">
        <is>
          <t>已在表 1 裁决（R09）；只有研究族级证据，需补本变体页码</t>
        </is>
      </c>
      <c r="E143" s="15" t="inlineStr">
        <is>
          <t>Chen et al., 2026</t>
        </is>
      </c>
      <c r="F143" s="15" t="inlineStr">
        <is>
          <t>传统</t>
        </is>
      </c>
      <c r="G143" s="15" t="inlineStr">
        <is>
          <t>BAC1: standalone Model 1 branch-and-cut without extra cuts</t>
        </is>
      </c>
      <c r="H143" s="15" t="inlineStr">
        <is>
          <t>L4</t>
        </is>
      </c>
      <c r="I143" s="15" t="inlineStr">
        <is>
          <t>NONE</t>
        </is>
      </c>
      <c r="J143" s="15" t="inlineStr">
        <is>
          <t>G4</t>
        </is>
      </c>
      <c r="K143" s="15" t="inlineStr">
        <is>
          <t>E1</t>
        </is>
      </c>
      <c r="L143" s="15" t="inlineStr">
        <is>
          <t>02_参考文献/论文全文/CL014_Chen_2026.pdf</t>
        </is>
      </c>
      <c r="M143" s="15" t="inlineStr"/>
      <c r="N143" s="15" t="inlineStr">
        <is>
          <t>Integer solver optimality certificate subject to model equivalence and numerical settings; timeout is not certificate</t>
        </is>
      </c>
      <c r="O143" s="15" t="inlineStr">
        <is>
          <t>No direct method_id join; family evidence and method description require variant-specific allocation. Prior AI proposal unresolved; human adjudication fields are blank.</t>
        </is>
      </c>
      <c r="P143" s="15" t="inlineStr"/>
      <c r="Q143" s="15" t="inlineStr"/>
      <c r="R143" s="15" t="inlineStr"/>
      <c r="S143" s="15" t="inlineStr"/>
      <c r="T143" s="15" t="inlineStr"/>
      <c r="U143" s="15" t="inlineStr"/>
      <c r="V143" s="15" t="inlineStr"/>
      <c r="W143" s="15" t="inlineStr"/>
      <c r="X143" s="15" t="inlineStr"/>
      <c r="Y143" s="15" t="inlineStr"/>
      <c r="Z143" s="15" t="inlineStr"/>
    </row>
    <row r="144">
      <c r="A144" s="15" t="inlineStr">
        <is>
          <t>表1已覆盖</t>
        </is>
      </c>
      <c r="B144" s="15" t="n">
        <v>137</v>
      </c>
      <c r="C144" s="15" t="inlineStr">
        <is>
          <t>S103-M4</t>
        </is>
      </c>
      <c r="D144" s="15" t="inlineStr">
        <is>
          <t>已在表 1 裁决（R20）；只有研究族级证据，需补本变体页码</t>
        </is>
      </c>
      <c r="E144" s="15" t="inlineStr">
        <is>
          <t>Chen et al., 2026</t>
        </is>
      </c>
      <c r="F144" s="15" t="inlineStr">
        <is>
          <t>传统</t>
        </is>
      </c>
      <c r="G144" s="15" t="inlineStr">
        <is>
          <t>BAC3: standalone Model 1 plus GCS and IPEC</t>
        </is>
      </c>
      <c r="H144" s="15" t="inlineStr">
        <is>
          <t>L4</t>
        </is>
      </c>
      <c r="I144" s="15" t="inlineStr">
        <is>
          <t>NONE</t>
        </is>
      </c>
      <c r="J144" s="15" t="inlineStr">
        <is>
          <t>G4</t>
        </is>
      </c>
      <c r="K144" s="15" t="inlineStr">
        <is>
          <t>E1</t>
        </is>
      </c>
      <c r="L144" s="15" t="inlineStr">
        <is>
          <t>02_参考文献/论文全文/CL014_Chen_2026.pdf</t>
        </is>
      </c>
      <c r="M144" s="15" t="inlineStr"/>
      <c r="N144" s="15" t="inlineStr">
        <is>
          <t>Same original model plus valid cuts; cut-threshold pruning governs separation, not the feasible path set</t>
        </is>
      </c>
      <c r="O144" s="15" t="inlineStr">
        <is>
          <t>No direct method_id join; family evidence and method description require variant-specific allocation. Prior AI proposal unresolved; human adjudication fields are blank.</t>
        </is>
      </c>
      <c r="P144" s="15" t="inlineStr"/>
      <c r="Q144" s="15" t="inlineStr"/>
      <c r="R144" s="15" t="inlineStr"/>
      <c r="S144" s="15" t="inlineStr"/>
      <c r="T144" s="15" t="inlineStr"/>
      <c r="U144" s="15" t="inlineStr"/>
      <c r="V144" s="15" t="inlineStr"/>
      <c r="W144" s="15" t="inlineStr"/>
      <c r="X144" s="15" t="inlineStr"/>
      <c r="Y144" s="15" t="inlineStr"/>
      <c r="Z144" s="15" t="inlineStr"/>
    </row>
    <row r="145" ht="60" customHeight="1">
      <c r="A145" s="15" t="inlineStr">
        <is>
          <t>表1已覆盖</t>
        </is>
      </c>
      <c r="B145" s="15" t="n">
        <v>140</v>
      </c>
      <c r="C145" s="15" t="inlineStr">
        <is>
          <t>S105-M2</t>
        </is>
      </c>
      <c r="D145" s="15" t="inlineStr">
        <is>
          <t>已在表 1 裁决（R01）；S105：新增逐页证据</t>
        </is>
      </c>
      <c r="E145" s="15" t="inlineStr">
        <is>
          <t>Sadykov et al., 2019</t>
        </is>
      </c>
      <c r="F145" s="15" t="inlineStr">
        <is>
          <t>传统</t>
        </is>
      </c>
      <c r="G145" s="15" t="inlineStr">
        <is>
          <t>Diving for feasibility</t>
        </is>
      </c>
      <c r="H145" s="15" t="inlineStr">
        <is>
          <t>L1</t>
        </is>
      </c>
      <c r="I145" s="15" t="inlineStr">
        <is>
          <t>L4</t>
        </is>
      </c>
      <c r="J145" s="15" t="inlineStr">
        <is>
          <t>G5</t>
        </is>
      </c>
      <c r="K145" s="15" t="inlineStr">
        <is>
          <t>E3</t>
        </is>
      </c>
      <c r="L145" s="15" t="inlineStr">
        <is>
          <t>90_过程归档/大修_v1.5/fulltext/Sadykov/PDFs/Primal_Heuristics_for_Branch_and_Price.pdf</t>
        </is>
      </c>
      <c r="M145" s="15" t="inlineStr"/>
      <c r="N145" s="15" t="inlineStr"/>
      <c r="O145" s="15" t="inlineStr">
        <is>
          <t>New family absent from legacy release_1_2 evidence.csv; all eight variants now have page locators in data/evidence_s105_v1_7.csv.</t>
        </is>
      </c>
      <c r="P145" s="15" t="inlineStr"/>
      <c r="Q145" s="15" t="inlineStr"/>
      <c r="R145" s="15" t="inlineStr"/>
      <c r="S145" s="15" t="str">
        <v>需改</v>
      </c>
      <c r="T145" s="15" t="inlineStr"/>
      <c r="U145" s="15" t="inlineStr"/>
      <c r="V145" s="15" t="str">
        <v>D019 次层：L6</v>
      </c>
      <c r="W145" s="15" t="str">
        <v>D019 PDF 15–16;22–24;28–30；§5.2;Table2;Fig.2(b);§6;Tables5,8,9</v>
      </c>
      <c r="X145" s="15" t="str">
        <v>已确认字段已用于新版稿件。未确定字段保留原值并在稿件标 †。原文核验由 Codex 完成；本次记录作者裁决，不代表独立人工复核。</v>
      </c>
      <c r="Y145" s="15" t="str">
        <v>Codex（依据作者裁决）</v>
      </c>
      <c r="Z145" s="15" t="str">
        <v>2026-10-15</v>
      </c>
    </row>
    <row r="146" ht="60" customHeight="1">
      <c r="A146" s="15" t="inlineStr">
        <is>
          <t>表1已覆盖</t>
        </is>
      </c>
      <c r="B146" s="15" t="n">
        <v>141</v>
      </c>
      <c r="C146" s="15" t="inlineStr">
        <is>
          <t>S105-M3</t>
        </is>
      </c>
      <c r="D146" s="15" t="inlineStr">
        <is>
          <t>已在表 1 裁决（R23）；S105：新增逐页证据</t>
        </is>
      </c>
      <c r="E146" s="15" t="inlineStr">
        <is>
          <t>Sadykov et al., 2019</t>
        </is>
      </c>
      <c r="F146" s="15" t="inlineStr">
        <is>
          <t>传统</t>
        </is>
      </c>
      <c r="G146" s="15" t="inlineStr">
        <is>
          <t>Diving with restarts</t>
        </is>
      </c>
      <c r="H146" s="15" t="inlineStr">
        <is>
          <t>L1</t>
        </is>
      </c>
      <c r="I146" s="15" t="inlineStr">
        <is>
          <t>L4</t>
        </is>
      </c>
      <c r="J146" s="15" t="inlineStr">
        <is>
          <t>G5</t>
        </is>
      </c>
      <c r="K146" s="15" t="inlineStr">
        <is>
          <t>E3</t>
        </is>
      </c>
      <c r="L146" s="15" t="inlineStr">
        <is>
          <t>90_过程归档/大修_v1.5/fulltext/Sadykov/PDFs/Primal_Heuristics_for_Branch_and_Price.pdf</t>
        </is>
      </c>
      <c r="M146" s="15" t="inlineStr"/>
      <c r="N146" s="15" t="inlineStr"/>
      <c r="O146" s="15" t="inlineStr">
        <is>
          <t>New family absent from legacy release_1_2 evidence.csv; all eight variants now have page locators in data/evidence_s105_v1_7.csv.</t>
        </is>
      </c>
      <c r="P146" s="15" t="inlineStr"/>
      <c r="Q146" s="15" t="inlineStr"/>
      <c r="R146" s="15" t="inlineStr"/>
      <c r="S146" s="15" t="str">
        <v>需改</v>
      </c>
      <c r="T146" s="15" t="inlineStr"/>
      <c r="U146" s="15" t="inlineStr"/>
      <c r="V146" s="15" t="str">
        <v>D020 次层：L6</v>
      </c>
      <c r="W146" s="15" t="str">
        <v>D020 PDF 18–19;22–24;28–30；§5.4;Table4;§6;Tables5,8,9</v>
      </c>
      <c r="X146" s="15" t="str">
        <v>已确认字段已用于新版稿件。未确定字段保留原值并在稿件标 †。原文核验由 Codex 完成；本次记录作者裁决，不代表独立人工复核。</v>
      </c>
      <c r="Y146" s="15" t="str">
        <v>Codex（依据作者裁决）</v>
      </c>
      <c r="Z146" s="15" t="str">
        <v>2026-10-15</v>
      </c>
    </row>
    <row r="147" ht="60" customHeight="1">
      <c r="A147" s="15" t="inlineStr">
        <is>
          <t>表1已覆盖</t>
        </is>
      </c>
      <c r="B147" s="15" t="n">
        <v>144</v>
      </c>
      <c r="C147" s="15" t="inlineStr">
        <is>
          <t>S105-M6</t>
        </is>
      </c>
      <c r="D147" s="15" t="inlineStr">
        <is>
          <t>已在表 1 裁决（R11）；S105：新增逐页证据</t>
        </is>
      </c>
      <c r="E147" s="15" t="inlineStr">
        <is>
          <t>Sadykov et al., 2019</t>
        </is>
      </c>
      <c r="F147" s="15" t="inlineStr">
        <is>
          <t>传统</t>
        </is>
      </c>
      <c r="G147" s="15" t="inlineStr">
        <is>
          <t>Strong diving</t>
        </is>
      </c>
      <c r="H147" s="15" t="inlineStr">
        <is>
          <t>L1</t>
        </is>
      </c>
      <c r="I147" s="15" t="inlineStr">
        <is>
          <t>L4</t>
        </is>
      </c>
      <c r="J147" s="15" t="inlineStr">
        <is>
          <t>G5</t>
        </is>
      </c>
      <c r="K147" s="15" t="inlineStr">
        <is>
          <t>E3</t>
        </is>
      </c>
      <c r="L147" s="15" t="inlineStr">
        <is>
          <t>90_过程归档/大修_v1.5/fulltext/Sadykov/PDFs/Primal_Heuristics_for_Branch_and_Price.pdf</t>
        </is>
      </c>
      <c r="M147" s="15" t="inlineStr"/>
      <c r="N147" s="15" t="inlineStr"/>
      <c r="O147" s="15" t="inlineStr">
        <is>
          <t>New family absent from legacy release_1_2 evidence.csv; all eight variants now have page locators in data/evidence_s105_v1_7.csv.</t>
        </is>
      </c>
      <c r="P147" s="15" t="inlineStr"/>
      <c r="Q147" s="15" t="inlineStr"/>
      <c r="R147" s="15" t="inlineStr"/>
      <c r="S147" s="15" t="str">
        <v>需改</v>
      </c>
      <c r="T147" s="15" t="inlineStr"/>
      <c r="U147" s="15" t="inlineStr"/>
      <c r="V147" s="15" t="str">
        <v>D022 次层：L6</v>
      </c>
      <c r="W147" s="15" t="str">
        <v>D022 PDF 16–18;22–24;28–30；§5.3;Table3;§6;Tables5,8,9</v>
      </c>
      <c r="X147" s="15" t="str">
        <v>已确认字段已用于新版稿件。未确定字段保留原值并在稿件标 †。原文核验由 Codex 完成；本次记录作者裁决，不代表独立人工复核。</v>
      </c>
      <c r="Y147" s="15" t="str">
        <v>Codex（依据作者裁决）</v>
      </c>
      <c r="Z147" s="15" t="str">
        <v>2026-10-15</v>
      </c>
    </row>
  </sheetData>
  <autoFilter ref="A1:Z147"/>
  <dataValidations count="8">
    <dataValidation sqref="P2:P147" showDropDown="0" showInputMessage="0" showErrorMessage="1" allowBlank="1" errorTitle="无效输入" error="请从下拉列表中选择" type="list">
      <formula1>"是,否"</formula1>
    </dataValidation>
    <dataValidation sqref="Q2:Q147" showDropDown="0" showInputMessage="0" showErrorMessage="1" allowBlank="1" errorTitle="无效输入" error="请从下拉列表中选择" type="list">
      <formula1>"正确,需改,无法判断"</formula1>
    </dataValidation>
    <dataValidation sqref="R2:R147" showDropDown="0" showInputMessage="0" showErrorMessage="1" allowBlank="1" errorTitle="无效输入" error="请从下拉列表中选择" type="list">
      <formula1>"正确,需改,无法判断"</formula1>
    </dataValidation>
    <dataValidation sqref="S2:S147" showDropDown="0" showInputMessage="0" showErrorMessage="1" allowBlank="1" errorTitle="无效输入" error="请从下拉列表中选择" type="list">
      <formula1>"正确,需改,无法判断"</formula1>
    </dataValidation>
    <dataValidation sqref="T2:T147" showDropDown="0" showInputMessage="0" showErrorMessage="1" allowBlank="1" errorTitle="无效输入" error="请从下拉列表中选择" type="list">
      <formula1>"正确,需改,无法判断"</formula1>
    </dataValidation>
    <dataValidation sqref="U2:U147" showDropDown="0" showInputMessage="0" showErrorMessage="1" allowBlank="1" errorTitle="无效输入" error="请从下拉列表中选择" type="list">
      <formula1>"正确,需改,无法判断"</formula1>
    </dataValidation>
    <dataValidation sqref="V2:V147" showDropDown="0" showInputMessage="1" showErrorMessage="0" allowBlank="1" promptTitle="填写提示" prompt="写明字段和新值，例如：主机制→G2；证据范围→E2|E4；描述→……" type="custom">
      <formula1>TRUE</formula1>
    </dataValidation>
    <dataValidation sqref="Z2:Z147"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8" customWidth="1" min="3" max="3"/>
    <col width="30" customWidth="1" min="4" max="4"/>
    <col width="24" customWidth="1" min="5" max="5"/>
    <col width="22" customWidth="1" min="6" max="6"/>
    <col width="7" customWidth="1" min="7" max="7"/>
    <col width="24" customWidth="1" min="8" max="8"/>
    <col width="30" customWidth="1" min="9" max="9"/>
    <col width="22" customWidth="1" min="10" max="10"/>
    <col width="30" customWidth="1" min="11" max="11"/>
    <col width="10" customWidth="1" min="12" max="12"/>
    <col width="40" customWidth="1" min="13" max="13"/>
    <col width="34" customWidth="1" min="14" max="14"/>
    <col width="9" customWidth="1" min="15" max="15"/>
    <col width="9" customWidth="1" min="16" max="16"/>
    <col width="11" customWidth="1" min="17" max="17"/>
    <col width="10" customWidth="1" min="18" max="18"/>
    <col width="95" customWidth="1" min="19" max="19"/>
    <col width="9" customWidth="1" min="20" max="20"/>
    <col width="11" customWidth="1" min="21" max="21"/>
  </cols>
  <sheetData>
    <row r="1" ht="42" customHeight="1">
      <c r="A1" s="7" t="inlineStr">
        <is>
          <t>Table 4 行</t>
        </is>
      </c>
      <c r="B1" s="7" t="inlineStr">
        <is>
          <t>研究ID</t>
        </is>
      </c>
      <c r="C1" s="7" t="inlineStr">
        <is>
          <t>文中引用</t>
        </is>
      </c>
      <c r="D1" s="7" t="inlineStr">
        <is>
          <t>本地原文</t>
        </is>
      </c>
      <c r="E1" s="7" t="inlineStr">
        <is>
          <t>补充原文</t>
        </is>
      </c>
      <c r="F1" s="7" t="inlineStr">
        <is>
          <t>阅读版本</t>
        </is>
      </c>
      <c r="G1" s="7" t="inlineStr">
        <is>
          <t>PDF 页</t>
        </is>
      </c>
      <c r="H1" s="7" t="inlineStr">
        <is>
          <t>位置</t>
        </is>
      </c>
      <c r="I1" s="7" t="inlineStr">
        <is>
          <t>样本与分母</t>
        </is>
      </c>
      <c r="J1" s="7" t="inlineStr">
        <is>
          <t>统计量类型</t>
        </is>
      </c>
      <c r="K1" s="7" t="inlineStr">
        <is>
          <t>AI 核对的数值</t>
        </is>
      </c>
      <c r="L1" s="7" t="inlineStr">
        <is>
          <t>AI 审核结论</t>
        </is>
      </c>
      <c r="M1" s="7" t="inlineStr">
        <is>
          <t>AI 发现</t>
        </is>
      </c>
      <c r="N1" s="7" t="inlineStr">
        <is>
          <t>AI 建议修改</t>
        </is>
      </c>
      <c r="O1" s="8" t="inlineStr">
        <is>
          <t>已打开原文核对 ✎</t>
        </is>
      </c>
      <c r="P1" s="8" t="inlineStr">
        <is>
          <t>数值与原文一致 ✎</t>
        </is>
      </c>
      <c r="Q1" s="8" t="inlineStr">
        <is>
          <t>样本、分母和统计量口径正确 ✎</t>
        </is>
      </c>
      <c r="R1" s="8" t="inlineStr">
        <is>
          <t>是否采纳建议修改 ✎</t>
        </is>
      </c>
      <c r="S1" s="8" t="inlineStr">
        <is>
          <t>备注（如有出入，写原文数值和页码）✎</t>
        </is>
      </c>
      <c r="T1" s="8" t="inlineStr">
        <is>
          <t>核对人 ✎</t>
        </is>
      </c>
      <c r="U1" s="8" t="inlineStr">
        <is>
          <t>日期 ✎</t>
        </is>
      </c>
    </row>
    <row r="2">
      <c r="A2" s="10" t="n">
        <v>1</v>
      </c>
      <c r="B2" s="10" t="inlineStr">
        <is>
          <t>S062</t>
        </is>
      </c>
      <c r="C2" s="10" t="inlineStr">
        <is>
          <t>(You et al., 2026b), E4</t>
        </is>
      </c>
      <c r="D2" s="10" t="inlineStr">
        <is>
          <t>02_参考文献/论文全文/S062_You_2026.pdf</t>
        </is>
      </c>
      <c r="E2" s="10" t="inlineStr"/>
      <c r="F2" s="10" t="inlineStr">
        <is>
          <t>Operations Research Articles in Advance 2026; 24-page supplied PDF</t>
        </is>
      </c>
      <c r="G2" s="10" t="inlineStr">
        <is>
          <t>14-16</t>
        </is>
      </c>
      <c r="H2" s="10" t="inlineStr">
        <is>
          <t>14-16; Table 2 and Table 3; Sections 6 and 6.1.1</t>
        </is>
      </c>
      <c r="I2" s="10" t="inlineStr">
        <is>
          <t>90 CVRP-150-90-1 evaluation instances; Setting II; optimal supplied UB</t>
        </is>
      </c>
      <c r="J2" s="10" t="inlineStr">
        <is>
          <t>Geometric means of complete solution times</t>
        </is>
      </c>
      <c r="K2" s="10" t="inlineStr">
        <is>
          <t>317.2 vs 436.8 s; Table 3 2LBB-dy vs 3PB-dy</t>
        </is>
      </c>
      <c r="L2" s="10" t="inlineStr">
        <is>
          <t>支持</t>
        </is>
      </c>
      <c r="M2" s="10" t="inlineStr">
        <is>
          <t>The current contrast is correct. Setting II restricts both cuts and arc elimination to the root and disables enumeration. E-companion with individual results and detailed generation records was not accessed.</t>
        </is>
      </c>
      <c r="N2" s="10" t="inlineStr">
        <is>
          <t>Optionally expand condition to root-only cuts and arc elimination; no enumeration.</t>
        </is>
      </c>
      <c r="O2" s="12" t="inlineStr"/>
      <c r="P2" s="12" t="inlineStr"/>
      <c r="Q2" s="12" t="inlineStr"/>
      <c r="R2" s="12" t="inlineStr"/>
      <c r="S2" s="12" t="inlineStr"/>
      <c r="T2" s="12" t="inlineStr"/>
      <c r="U2" s="12" t="inlineStr"/>
    </row>
    <row r="3">
      <c r="A3" s="10" t="n">
        <v>2</v>
      </c>
      <c r="B3" s="10" t="inlineStr">
        <is>
          <t>S048</t>
        </is>
      </c>
      <c r="C3" s="10" t="inlineStr">
        <is>
          <t>(Václavík et al., 2018), E4</t>
        </is>
      </c>
      <c r="D3" s="10" t="inlineStr">
        <is>
          <t>02_参考文献/论文全文/S048_Vaclavik_2018.pdf</t>
        </is>
      </c>
      <c r="E3" s="10" t="inlineStr"/>
      <c r="F3" s="10" t="inlineStr">
        <is>
          <t>Accepted manuscript of 2018 EJOR article; 48-page PDF</t>
        </is>
      </c>
      <c r="G3" s="10" t="inlineStr">
        <is>
          <t>33-39</t>
        </is>
      </c>
      <c r="H3" s="10" t="inlineStr">
        <is>
          <t>printed pp32-38; Tables 1-4 and 6-7</t>
        </is>
      </c>
      <c r="I3" s="10" t="inlineStr">
        <is>
          <t>13 NRP and 12 TDM instances; 10 runs per instance, per Section 6.1</t>
        </is>
      </c>
      <c r="J3" s="10" t="inlineStr">
        <is>
          <t>Source gives per-instance average CPU times and per-instance savings; narrative approximately 40% and 22%</t>
        </is>
      </c>
      <c r="K3" s="10" t="inlineStr">
        <is>
          <t>Mean displayed per-instance savings 40.4592308% NRP and 21.3425% TDM; source narrative approximately 40% and 22%</t>
        </is>
      </c>
      <c r="L3" s="10" t="inlineStr">
        <is>
          <t>建议改措辞</t>
        </is>
      </c>
      <c r="M3" s="10" t="inlineStr">
        <is>
          <t>The phrase mean per-instance gains about 40% and 22% mixes the source narrative with an arithmetic-mean claim. Ten repetitions are established, but no repetition dispersion is reported in these tables. Online regression and fallback costs are included.</t>
        </is>
      </c>
      <c r="N3" s="10" t="inlineStr">
        <is>
          <t>Use Mean per-instance gains 40.5% and 21.3%, calculated from reported savings; or Source summarizes gains as about 40% and 22%.</t>
        </is>
      </c>
      <c r="O3" s="12" t="inlineStr"/>
      <c r="P3" s="12" t="inlineStr"/>
      <c r="Q3" s="12" t="inlineStr"/>
      <c r="R3" s="12" t="inlineStr"/>
      <c r="S3" s="12" t="inlineStr"/>
      <c r="T3" s="12" t="inlineStr"/>
      <c r="U3" s="12" t="inlineStr"/>
    </row>
    <row r="4">
      <c r="A4" s="10" t="n">
        <v>3</v>
      </c>
      <c r="B4" s="10" t="inlineStr">
        <is>
          <t>S056</t>
        </is>
      </c>
      <c r="C4" s="10" t="inlineStr">
        <is>
          <t>(Kraul et al., 2023), E2</t>
        </is>
      </c>
      <c r="D4" s="10" t="inlineStr">
        <is>
          <t>02_参考文献/论文全文/S056_Kraul_2023.pdf</t>
        </is>
      </c>
      <c r="E4" s="10" t="inlineStr"/>
      <c r="F4" s="10" t="inlineStr">
        <is>
          <t>INFORMS Journal on Computing 35(3), 692-709 (2023); supplied VOR with cover</t>
        </is>
      </c>
      <c r="G4" s="10" t="inlineStr">
        <is>
          <t>16-17</t>
        </is>
      </c>
      <c r="H4" s="10" t="inlineStr">
        <is>
          <t>printed pp706-707; Section 4.3; Tables 7 and 9</t>
        </is>
      </c>
      <c r="I4" s="10" t="inlineStr">
        <is>
          <t>500 synthetic tests (100 each at 25,50,75,100,125 items); 6195 BPPLIB tests</t>
        </is>
      </c>
      <c r="J4" s="10" t="inlineStr">
        <is>
          <t>Mean whole-CG runtime; BPPLIB average weights classes by their instance counts</t>
        </is>
      </c>
      <c r="K4" s="10" t="inlineStr">
        <is>
          <t>3.08 vs 5.62 s; 128.51 vs 99.48 s</t>
        </is>
      </c>
      <c r="L4" s="10" t="inlineStr">
        <is>
          <t>支持</t>
        </is>
      </c>
      <c r="M4" s="10" t="inlineStr">
        <is>
          <t>The BPPLIB class counts sum to 6195. Weighting the displayed class means gives 128.50685 and 99.48204 s, matching the reported averages. FULL is evaluated only on a subset; the quoted row correctly uses SPARSE.</t>
        </is>
      </c>
      <c r="N4" s="10" t="inlineStr">
        <is>
          <t>No numerical change.</t>
        </is>
      </c>
      <c r="O4" s="12" t="inlineStr"/>
      <c r="P4" s="12" t="inlineStr"/>
      <c r="Q4" s="12" t="inlineStr"/>
      <c r="R4" s="12" t="inlineStr"/>
      <c r="S4" s="12" t="inlineStr"/>
      <c r="T4" s="12" t="inlineStr"/>
      <c r="U4" s="12" t="inlineStr"/>
    </row>
    <row r="5">
      <c r="A5" s="10" t="n">
        <v>4</v>
      </c>
      <c r="B5" s="10" t="inlineStr">
        <is>
          <t>S079</t>
        </is>
      </c>
      <c r="C5" s="10" t="inlineStr">
        <is>
          <t>(Sugishita et al., 2024), E2</t>
        </is>
      </c>
      <c r="D5" s="10" t="inlineStr">
        <is>
          <t>02_参考文献/论文全文/S079_Sugishita_2024.pdf</t>
        </is>
      </c>
      <c r="E5" s="10" t="inlineStr"/>
      <c r="F5" s="10" t="inlineStr">
        <is>
          <t>INFORMS Journal on Computing Articles in Advance 2024; 19-page supplied PDF</t>
        </is>
      </c>
      <c r="G5" s="10" t="inlineStr">
        <is>
          <t>9-13</t>
        </is>
      </c>
      <c r="H5" s="10" t="inlineStr">
        <is>
          <t>printed pp8-12; Sections 4.1-4.3; Table 4</t>
        </is>
      </c>
      <c r="I5" s="10" t="inlineStr">
        <is>
          <t>100 test instances at 1000 generators; fixed generator set with varied demand; 0.25% stopping gap</t>
        </is>
      </c>
      <c r="J5" s="10" t="inlineStr">
        <is>
          <t>Average wall-clock runtime; counts solved before 600 s limit</t>
        </is>
      </c>
      <c r="K5" s="10" t="inlineStr">
        <is>
          <t>65.9 vs 131.2 s; each 100/100 solved</t>
        </is>
      </c>
      <c r="L5" s="10" t="inlineStr">
        <is>
          <t>支持</t>
        </is>
      </c>
      <c r="M5" s="10" t="inlineStr">
        <is>
          <t>The comparison is double-sampling neural initialization vs LPR initialization. Training for the double-sampling model is 24 h using eight CPU cores for each generator set. Evaluation combines CG and a primal heuristic and is not full B&amp;P.</t>
        </is>
      </c>
      <c r="N5" s="10" t="inlineStr">
        <is>
          <t>No numerical change.</t>
        </is>
      </c>
      <c r="O5" s="12" t="inlineStr"/>
      <c r="P5" s="12" t="inlineStr"/>
      <c r="Q5" s="12" t="inlineStr"/>
      <c r="R5" s="12" t="inlineStr"/>
      <c r="S5" s="12" t="inlineStr"/>
      <c r="T5" s="12" t="inlineStr"/>
      <c r="U5" s="12" t="inlineStr"/>
    </row>
    <row r="6">
      <c r="A6" s="10" t="n">
        <v>5</v>
      </c>
      <c r="B6" s="10" t="inlineStr">
        <is>
          <t>S055</t>
        </is>
      </c>
      <c r="C6" s="10" t="inlineStr">
        <is>
          <t>(Morabit et al., 2023), E2</t>
        </is>
      </c>
      <c r="D6" s="10" t="inlineStr">
        <is>
          <t>02_参考文献/论文全文/S055_Morabit_2023.pdf</t>
        </is>
      </c>
      <c r="E6" s="10" t="inlineStr"/>
      <c r="F6" s="10" t="inlineStr">
        <is>
          <t>INFORMS Journal on Optimization Articles in Advance 2022 manuscript, later 2023 publication; 21-page supplied PDF</t>
        </is>
      </c>
      <c r="G6" s="10" t="inlineStr">
        <is>
          <t>14-19</t>
        </is>
      </c>
      <c r="H6" s="10" t="inlineStr">
        <is>
          <t>printed pp13-18; Sections 5 and 5.4.2; Tables 7-8</t>
        </is>
      </c>
      <c r="I6" s="10" t="inlineStr">
        <is>
          <t>Five 200-customer R2 instances and five 400-customer C2 instances</t>
        </is>
      </c>
      <c r="J6" s="10" t="inlineStr">
        <is>
          <t>Reported group mean total CG times, copied from Table 7 average rows</t>
        </is>
      </c>
      <c r="K6" s="10" t="inlineStr">
        <is>
          <t>RedCost-S 32 vs ML-S 65 s; RedCost-S 254 vs ML-S 560 s</t>
        </is>
      </c>
      <c r="L6" s="10" t="inlineStr">
        <is>
          <t>建议更精确</t>
        </is>
      </c>
      <c r="M6" s="10" t="inlineStr">
        <is>
          <t>The numbers and direction match the source average rows. Some source table entries do not arithmetically reconcile, e.g. R2_2_1 ML-S PP 52 + RMP 8 vs Total 54. Do not silently recompute or repair the source. Every individually displayed case in these two groups still favors RedCost-S. Two-cycle elimination relaxation is explicit in Section 5.</t>
        </is>
      </c>
      <c r="N6" s="10" t="inlineStr">
        <is>
          <t>Use Reported group means and identify n=5 in each quoted group; retain source values.</t>
        </is>
      </c>
      <c r="O6" s="12" t="inlineStr"/>
      <c r="P6" s="12" t="inlineStr"/>
      <c r="Q6" s="12" t="inlineStr"/>
      <c r="R6" s="12" t="inlineStr"/>
      <c r="S6" s="12" t="inlineStr"/>
      <c r="T6" s="12" t="inlineStr"/>
      <c r="U6" s="12" t="inlineStr"/>
    </row>
    <row r="7">
      <c r="A7" s="10" t="n">
        <v>6</v>
      </c>
      <c r="B7" s="10" t="inlineStr">
        <is>
          <t>S058</t>
        </is>
      </c>
      <c r="C7" s="10" t="inlineStr">
        <is>
          <t>(Koutecká et al., 2025), E4</t>
        </is>
      </c>
      <c r="D7" s="10" t="inlineStr">
        <is>
          <t>02_参考文献/论文全文/S058_Koutecka_2025.pdf</t>
        </is>
      </c>
      <c r="E7" s="10" t="inlineStr"/>
      <c r="F7" s="10" t="inlineStr">
        <is>
          <t>EJOR 320 (2025), 328-342; 15-page VOR</t>
        </is>
      </c>
      <c r="G7" s="10" t="inlineStr">
        <is>
          <t>11-12</t>
        </is>
      </c>
      <c r="H7" s="10" t="inlineStr">
        <is>
          <t>printed pp338-339; Section 6.3; Table 4</t>
        </is>
      </c>
      <c r="I7" s="10" t="inlineStr">
        <is>
          <t>Nine five-day tests (three patient-count settings times three generated instances); k=1; four-hour limit</t>
        </is>
      </c>
      <c r="J7" s="10" t="inlineStr">
        <is>
          <t>Means over instances and experiments, as stated in caption; repetition count not given</t>
        </is>
      </c>
      <c r="K7" s="10" t="inlineStr">
        <is>
          <t>ML 2950 vs random 3923 pricing calls; ML 2087 vs random 1916 s</t>
        </is>
      </c>
      <c r="L7" s="10" t="inlineStr">
        <is>
          <t>支持</t>
        </is>
      </c>
      <c r="M7" s="10" t="inlineStr">
        <is>
          <t>All five-day cases are reported optimal. The total-time disadvantage is 8.92%, despite 24.8% fewer pricing calls. The source caption also says averaged over experiments; no independent uncertainty estimate can be calculated without those runs.</t>
        </is>
      </c>
      <c r="N7" s="10" t="inlineStr">
        <is>
          <t>No numerical change; avoid reporting a per-instance variance or confidence interval.</t>
        </is>
      </c>
      <c r="O7" s="12" t="inlineStr"/>
      <c r="P7" s="12" t="inlineStr"/>
      <c r="Q7" s="12" t="inlineStr"/>
      <c r="R7" s="12" t="inlineStr"/>
      <c r="S7" s="12" t="inlineStr"/>
      <c r="T7" s="12" t="inlineStr"/>
      <c r="U7" s="12" t="inlineStr"/>
    </row>
    <row r="8">
      <c r="A8" s="10" t="n">
        <v>7</v>
      </c>
      <c r="B8" s="10" t="inlineStr">
        <is>
          <t>S088</t>
        </is>
      </c>
      <c r="C8" s="10" t="inlineStr">
        <is>
          <t>(Xu et al., 2024), E4</t>
        </is>
      </c>
      <c r="D8" s="10" t="inlineStr">
        <is>
          <t>02_参考文献/论文全文/S088_Xu_2024.pdf</t>
        </is>
      </c>
      <c r="E8" s="10" t="inlineStr"/>
      <c r="F8" s="10" t="inlineStr">
        <is>
          <t>GECCO 2024 proceedings, pp1073-1081; 9-page supplied article</t>
        </is>
      </c>
      <c r="G8" s="10" t="inlineStr">
        <is>
          <t>6-8</t>
        </is>
      </c>
      <c r="H8" s="10" t="inlineStr">
        <is>
          <t>printed pp1078-1080; Sections 4.1 and 4.3; Table 4</t>
        </is>
      </c>
      <c r="I8" s="10" t="inlineStr">
        <is>
          <t>Hard28: 28 cases at each capacity multiplier 1,2,5,15; 1800 s cutoff</t>
        </is>
      </c>
      <c r="J8" s="10" t="inlineStr">
        <is>
          <t>Number of instances reaching zero B&amp;P gap</t>
        </is>
      </c>
      <c r="K8" s="10" t="inlineStr">
        <is>
          <t>MLACO 14/17/3/1 vs Gurobi-m 14/9/4/0, each out of 28</t>
        </is>
      </c>
      <c r="L8" s="10" t="inlineStr">
        <is>
          <t>支持</t>
        </is>
      </c>
      <c r="M8" s="10" t="inlineStr">
        <is>
          <t>The exact fallback on heuristic failure is stated in Section 4.1. These are integer proof counts from Table 4, distinct from the larger LP completion counts in Table 1. Third setting has fewer proofs for MLACO.</t>
        </is>
      </c>
      <c r="N8" s="10" t="inlineStr">
        <is>
          <t>No numerical change; optionally spell out multipliers 1,2,5,15.</t>
        </is>
      </c>
      <c r="O8" s="12" t="inlineStr"/>
      <c r="P8" s="12" t="inlineStr"/>
      <c r="Q8" s="12" t="inlineStr"/>
      <c r="R8" s="12" t="inlineStr"/>
      <c r="S8" s="12" t="inlineStr"/>
      <c r="T8" s="12" t="inlineStr"/>
      <c r="U8" s="12" t="inlineStr"/>
    </row>
    <row r="9">
      <c r="A9" s="10" t="n">
        <v>8</v>
      </c>
      <c r="B9" s="10" t="inlineStr">
        <is>
          <t>S057</t>
        </is>
      </c>
      <c r="C9" s="10" t="inlineStr">
        <is>
          <t>(Yuan et al., 2024), E2</t>
        </is>
      </c>
      <c r="D9" s="10" t="inlineStr">
        <is>
          <t>02_参考文献/论文全文/S057_Yuan_2024.pdf</t>
        </is>
      </c>
      <c r="E9" s="10" t="inlineStr"/>
      <c r="F9" s="10" t="inlineStr">
        <is>
          <t>AAAI 2024 proceedings, pp8209-8216; 8-page supplied article</t>
        </is>
      </c>
      <c r="G9" s="10" t="inlineStr">
        <is>
          <t>5-6</t>
        </is>
      </c>
      <c r="H9" s="10" t="inlineStr">
        <is>
          <t>printed pp8213-8214; Evaluation; Table 1</t>
        </is>
      </c>
      <c r="I9" s="10" t="inlineStr">
        <is>
          <t>1000/200/100 generated easy/normal/hard CSP tests; five columns selected from ten candidates</t>
        </is>
      </c>
      <c r="J9" s="10" t="inlineStr">
        <is>
          <t>Total runtime over each evaluation set; average iteration count is separate</t>
        </is>
      </c>
      <c r="K9" s="10" t="inlineStr">
        <is>
          <t>67.84/55.05/87.95 vs 74.59/59.32/93.60 s</t>
        </is>
      </c>
      <c r="L9" s="10" t="inlineStr">
        <is>
          <t>支持</t>
        </is>
      </c>
      <c r="M9" s="10" t="inlineStr">
        <is>
          <t>The same five-of-ten budget is explicitly used for all multiple-column strategies. Source reports derived reductions 9.05%,7.20%,6.04%. GPU inference is included in the online comparison. Do not relabel total seconds as mean time per instance.</t>
        </is>
      </c>
      <c r="N9" s="10" t="inlineStr">
        <is>
          <t>No numerical change.</t>
        </is>
      </c>
      <c r="O9" s="12" t="inlineStr"/>
      <c r="P9" s="12" t="inlineStr"/>
      <c r="Q9" s="12" t="inlineStr"/>
      <c r="R9" s="12" t="inlineStr"/>
      <c r="S9" s="12" t="inlineStr"/>
      <c r="T9" s="12" t="inlineStr"/>
      <c r="U9" s="12" t="inlineStr"/>
    </row>
    <row r="10" ht="62" customHeight="1">
      <c r="A10" s="10" t="n">
        <v>9</v>
      </c>
      <c r="B10" s="10" t="inlineStr">
        <is>
          <t>S059</t>
        </is>
      </c>
      <c r="C10" s="10" t="inlineStr">
        <is>
          <t>(Hu et al., 2024; Hu et al., 2025), E2</t>
        </is>
      </c>
      <c r="D10" s="10" t="inlineStr">
        <is>
          <t>02_参考文献/论文全文/S059_Hu_2025.pdf</t>
        </is>
      </c>
      <c r="E10" s="10" t="inlineStr">
        <is>
          <t>90_过程归档/大修_v1.5/fulltext/Hu/PDFs/FFCG_extended_arXiv_version.pdf</t>
        </is>
      </c>
      <c r="F10" s="10" t="inlineStr">
        <is>
          <t>AAAI 2025 proceedings main article plus arXiv:2412.19066v1, 26 Dec 2024, with appendices</t>
        </is>
      </c>
      <c r="G10" s="10" t="inlineStr">
        <is>
          <t>main 6-7; arXiv 6-7,11</t>
        </is>
      </c>
      <c r="H10" s="10" t="inlineStr">
        <is>
          <t>main printed p11244 Table 3; arXiv Appendix F.2 p11</t>
        </is>
      </c>
      <c r="I10" s="10" t="inlineStr">
        <is>
          <t>60 test instances from C1,R1,RC1; 240 separately generated training instances</t>
        </is>
      </c>
      <c r="J10" s="10" t="inlineStr">
        <is>
          <t>Source labels Table 3 runtimes as totals; mean iterations and columns are separate</t>
        </is>
      </c>
      <c r="K10" s="10" t="inlineStr">
        <is>
          <t>FFCG 426.99 vs Greedy-S 2662.07 and Greedy-M 511.97 s; derived reductions 83.960226% and 16.598629%</t>
        </is>
      </c>
      <c r="L10" s="10" t="inlineStr">
        <is>
          <t>支持</t>
        </is>
      </c>
      <c r="M10" s="10" t="inlineStr">
        <is>
          <t>Denominator is documented only in the accessed extended arXiv version, not the eight-page conference article. The two versions describe the same family and must not count as independent replications. Inference and feature computation included. Exact test customer counts beyond larger than training are not given in Appendix F.2.</t>
        </is>
      </c>
      <c r="N10" s="10" t="inlineStr">
        <is>
          <t>No numerical change; preserve both reading versions and the total-runtime qualification.</t>
        </is>
      </c>
      <c r="O10" s="12" t="inlineStr"/>
      <c r="P10" s="12" t="inlineStr"/>
      <c r="Q10" s="12" t="inlineStr"/>
      <c r="R10" s="12" t="str">
        <v>采纳</v>
      </c>
      <c r="S10" s="12" t="str">
        <v>D036 样本与分母；AI 建议修改：FFCG and Greedy-M use the same ten-column candidate pool. FFCG admits a variable-size subset, whereas Greedy-M admits all ten. This is a matched candidate-pool comparison, not a matched admitted-batch comparison.
D036 PDF 正式版3–7；扩展版9、11；§4 Algorithms1–2；§5 Tables1–3；附录B/F.2</v>
      </c>
      <c r="T10" s="12" t="str">
        <v>Codex（依据作者裁决）</v>
      </c>
      <c r="U10" s="12" t="str">
        <v>2026-10-15</v>
      </c>
    </row>
    <row r="11">
      <c r="A11" s="10" t="n">
        <v>10</v>
      </c>
      <c r="B11" s="10" t="inlineStr">
        <is>
          <t>S045</t>
        </is>
      </c>
      <c r="C11" s="10" t="inlineStr">
        <is>
          <t>(Desaulniers et al., 2020), E4</t>
        </is>
      </c>
      <c r="D11" s="10" t="inlineStr">
        <is>
          <t>02_参考文献/论文全文/S045_Desaulniers_2020.pdf</t>
        </is>
      </c>
      <c r="E11" s="10" t="inlineStr"/>
      <c r="F11" s="10" t="inlineStr">
        <is>
          <t>Transportation Science Articles in Advance 2020; 20-page supplied PDF including cover</t>
        </is>
      </c>
      <c r="G11" s="10" t="inlineStr">
        <is>
          <t>12-18</t>
        </is>
      </c>
      <c r="H11" s="10" t="inlineStr">
        <is>
          <t>printed pp11-17; Sections 4.1.3 and 4.5; Table 5</t>
        </is>
      </c>
      <c r="I11" s="10" t="inlineStr">
        <is>
          <t>459 selected cases from original 168 VRPTW + 672 EVRPTW; exclude root-integer and TASF &gt;2 h cases; SAF allowed 10 h</t>
        </is>
      </c>
      <c r="J11" s="10" t="inlineStr">
        <is>
          <t>Reported whole-BPC reduction based on geometric runtime ratios, plus proof counts</t>
        </is>
      </c>
      <c r="K11" s="10" t="inlineStr">
        <is>
          <t>Approximately 19% reduction; 459 TASF vs 455 SAF proofs; four SAF timeouts counted at 36000 s</t>
        </is>
      </c>
      <c r="L11" s="10" t="inlineStr">
        <is>
          <t>建议更精确</t>
        </is>
      </c>
      <c r="M11" s="10" t="inlineStr">
        <is>
          <t>Selection and asymmetric time limits are explicit. VRPTW initialization is known optimum + 1. Source says arithmetic averages for absolute numbers and geometric averages for ratios (pp12,14 printed). The 19% should not be described as a reduction in pooled arithmetic mean time.</t>
        </is>
      </c>
      <c r="N11" s="10" t="inlineStr">
        <is>
          <t>Use About 19% reduction based on geometric runtime ratios; 459 versus 455 proofs in selected set.</t>
        </is>
      </c>
      <c r="O11" s="12" t="inlineStr"/>
      <c r="P11" s="12" t="inlineStr"/>
      <c r="Q11" s="12" t="inlineStr"/>
      <c r="R11" s="12" t="inlineStr"/>
      <c r="S11" s="12" t="inlineStr"/>
      <c r="T11" s="12" t="inlineStr"/>
      <c r="U11" s="12" t="inlineStr"/>
    </row>
  </sheetData>
  <autoFilter ref="A1:U11"/>
  <dataValidations count="5">
    <dataValidation sqref="O2:O11" showDropDown="0" showInputMessage="0" showErrorMessage="1" allowBlank="1" errorTitle="无效输入" error="请从下拉列表中选择" type="list">
      <formula1>"是,否"</formula1>
    </dataValidation>
    <dataValidation sqref="P2:P11" showDropDown="0" showInputMessage="0" showErrorMessage="1" allowBlank="1" errorTitle="无效输入" error="请从下拉列表中选择" type="list">
      <formula1>"是,否"</formula1>
    </dataValidation>
    <dataValidation sqref="Q2:Q11" showDropDown="0" showInputMessage="0" showErrorMessage="1" allowBlank="1" errorTitle="无效输入" error="请从下拉列表中选择" type="list">
      <formula1>"是,否"</formula1>
    </dataValidation>
    <dataValidation sqref="R2:R11" showDropDown="0" showInputMessage="0" showErrorMessage="1" allowBlank="1" errorTitle="无效输入" error="请从下拉列表中选择" type="list">
      <formula1>"采纳,不采纳,不适用"</formula1>
    </dataValidation>
    <dataValidation sqref="U2:U11"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7" customWidth="1" min="3" max="3"/>
    <col width="20" customWidth="1" min="4" max="4"/>
    <col width="6" customWidth="1" min="5" max="5"/>
    <col width="10" customWidth="1" min="6" max="6"/>
    <col width="40" customWidth="1" min="7" max="7"/>
    <col width="8" customWidth="1" min="8" max="8"/>
    <col width="8" customWidth="1" min="9" max="9"/>
    <col width="18" customWidth="1" min="10" max="10"/>
    <col width="24" customWidth="1" min="11" max="11"/>
    <col width="30" customWidth="1" min="12" max="12"/>
    <col width="9" customWidth="1" min="13" max="13"/>
    <col width="9" customWidth="1" min="14" max="14"/>
    <col width="85" customWidth="1" min="15" max="15"/>
    <col width="42" customWidth="1" min="16" max="16"/>
    <col width="9" customWidth="1" min="17" max="17"/>
    <col width="11" customWidth="1" min="18" max="18"/>
  </cols>
  <sheetData>
    <row r="1" ht="42" customHeight="1">
      <c r="A1" s="7" t="inlineStr">
        <is>
          <t>研究族</t>
        </is>
      </c>
      <c r="B1" s="7" t="inlineStr">
        <is>
          <t>研究</t>
        </is>
      </c>
      <c r="C1" s="7" t="inlineStr">
        <is>
          <t>发表状态</t>
        </is>
      </c>
      <c r="D1" s="7" t="inlineStr">
        <is>
          <t>E4 评估的变体</t>
        </is>
      </c>
      <c r="E1" s="7" t="inlineStr">
        <is>
          <t>类型</t>
        </is>
      </c>
      <c r="F1" s="7" t="inlineStr">
        <is>
          <t>是否至少报告一次完成的树求解</t>
        </is>
      </c>
      <c r="G1" s="7" t="inlineStr">
        <is>
          <t>判断依据（原文）</t>
        </is>
      </c>
      <c r="H1" s="7" t="inlineStr">
        <is>
          <t>是否给树提供上界</t>
        </is>
      </c>
      <c r="I1" s="7" t="inlineStr">
        <is>
          <t>是否只展示单个实例</t>
        </is>
      </c>
      <c r="J1" s="7" t="inlineStr">
        <is>
          <t>证据记录（release 1.2 编号）</t>
        </is>
      </c>
      <c r="K1" s="7" t="inlineStr">
        <is>
          <t>核对说明</t>
        </is>
      </c>
      <c r="L1" s="7" t="inlineStr">
        <is>
          <t>本地原文</t>
        </is>
      </c>
      <c r="M1" s="8" t="inlineStr">
        <is>
          <t>已打开原文核对 ✎</t>
        </is>
      </c>
      <c r="N1" s="8" t="inlineStr">
        <is>
          <t>各列判断都正确 ✎</t>
        </is>
      </c>
      <c r="O1" s="8" t="inlineStr">
        <is>
          <t>需修改的列和新值 ✎</t>
        </is>
      </c>
      <c r="P1" s="8" t="inlineStr">
        <is>
          <t>依据页码 ✎</t>
        </is>
      </c>
      <c r="Q1" s="8" t="inlineStr">
        <is>
          <t>核对人 ✎</t>
        </is>
      </c>
      <c r="R1" s="8" t="inlineStr">
        <is>
          <t>日期 ✎</t>
        </is>
      </c>
    </row>
    <row r="2">
      <c r="A2" s="10" t="inlineStr">
        <is>
          <t>S017</t>
        </is>
      </c>
      <c r="B2" s="10" t="inlineStr">
        <is>
          <t>Desaulniers et al., 2008</t>
        </is>
      </c>
      <c r="C2" s="10" t="inlineStr">
        <is>
          <t>J</t>
        </is>
      </c>
      <c r="D2" s="10" t="inlineStr">
        <is>
          <t>S017-M1, S017-M2, S017-M3</t>
        </is>
      </c>
      <c r="E2" s="10" t="inlineStr">
        <is>
          <t>T</t>
        </is>
      </c>
      <c r="F2" s="10" t="inlineStr">
        <is>
          <t>Yes</t>
        </is>
      </c>
      <c r="G2" s="10" t="inlineStr">
        <is>
          <t>Five new optimality proofs on Solomon instances; five instances remain unsolved with LB/UB reported.</t>
        </is>
      </c>
      <c r="H2" s="10" t="inlineStr">
        <is>
          <t>NR</t>
        </is>
      </c>
      <c r="I2" s="10" t="inlineStr">
        <is>
          <t>No</t>
        </is>
      </c>
      <c r="J2" s="10" t="inlineStr">
        <is>
          <t>E-T-S017-03; E-T-S017-06</t>
        </is>
      </c>
      <c r="K2" s="10" t="inlineStr"/>
      <c r="L2" s="10" t="inlineStr">
        <is>
          <t>02_参考文献/论文全文/S017_Desaulniers_2008.pdf</t>
        </is>
      </c>
      <c r="M2" s="12" t="inlineStr"/>
      <c r="N2" s="12" t="inlineStr"/>
      <c r="O2" s="12" t="inlineStr"/>
      <c r="P2" s="12" t="inlineStr"/>
      <c r="Q2" s="12" t="inlineStr"/>
      <c r="R2" s="12" t="inlineStr"/>
    </row>
    <row r="3" ht="60" customHeight="1">
      <c r="A3" s="10" t="inlineStr">
        <is>
          <t>S019</t>
        </is>
      </c>
      <c r="B3" s="10" t="inlineStr">
        <is>
          <t>Sadykov et al., 2021</t>
        </is>
      </c>
      <c r="C3" s="10" t="inlineStr">
        <is>
          <t>J</t>
        </is>
      </c>
      <c r="D3" s="10" t="inlineStr">
        <is>
          <t>S019-M1, S019-M2</t>
        </is>
      </c>
      <c r="E3" s="10" t="inlineStr">
        <is>
          <t>T</t>
        </is>
      </c>
      <c r="F3" s="10" t="inlineStr">
        <is>
          <t>Yes</t>
        </is>
      </c>
      <c r="G3" s="10" t="inlineStr">
        <is>
          <t>70 of 74 instances solved by the proposed variant versus 65 of 74 by the baseline.</t>
        </is>
      </c>
      <c r="H3" s="10" t="inlineStr">
        <is>
          <t>NR</t>
        </is>
      </c>
      <c r="I3" s="10" t="inlineStr">
        <is>
          <t>No</t>
        </is>
      </c>
      <c r="J3" s="10" t="inlineStr">
        <is>
          <t>E-T-S019-02; E-T-S019-03; E-T-S019-07; E-T-S019-08</t>
        </is>
      </c>
      <c r="K3" s="10" t="inlineStr"/>
      <c r="L3" s="10" t="inlineStr">
        <is>
          <t>02_参考文献/论文全文/S019_Sadykov_2021.pdf</t>
        </is>
      </c>
      <c r="M3" s="12" t="inlineStr"/>
      <c r="N3" s="12" t="str">
        <v>否</v>
      </c>
      <c r="O3" s="12" t="str">
        <v>D023 是否给树提供上界：Yes (heuristic initial upper bounds)</v>
      </c>
      <c r="P3" s="12" t="str">
        <v>D023 PDF PDF pp.18、22–23、25；§6.1.1；§6.5 Table 6；Acknowledgments</v>
      </c>
      <c r="Q3" s="12" t="str">
        <v>Codex（依据作者裁决）</v>
      </c>
      <c r="R3" s="12" t="str">
        <v>2026-10-15</v>
      </c>
    </row>
    <row r="4">
      <c r="A4" s="10" t="inlineStr">
        <is>
          <t>S020</t>
        </is>
      </c>
      <c r="B4" s="10" t="inlineStr">
        <is>
          <t>Maher and Rönnberg, 2023</t>
        </is>
      </c>
      <c r="C4" s="10" t="inlineStr">
        <is>
          <t>J</t>
        </is>
      </c>
      <c r="D4" s="10" t="inlineStr">
        <is>
          <t>S020-M1, S020-M2</t>
        </is>
      </c>
      <c r="E4" s="10" t="inlineStr">
        <is>
          <t>T</t>
        </is>
      </c>
      <c r="F4" s="10" t="inlineStr">
        <is>
          <t>Yes</t>
        </is>
      </c>
      <c r="G4" s="10" t="inlineStr">
        <is>
          <t>470 (default) and up to 473 (IPColGen settings) instances proven optimal in the 1205-instance test set.</t>
        </is>
      </c>
      <c r="H4" s="10" t="inlineStr">
        <is>
          <t>NR</t>
        </is>
      </c>
      <c r="I4" s="10" t="inlineStr">
        <is>
          <t>No</t>
        </is>
      </c>
      <c r="J4" s="10" t="inlineStr">
        <is>
          <t>E-B-S020-02; E-B-S020-03; E-B-S020-05; E-B-S020-06</t>
        </is>
      </c>
      <c r="K4" s="10" t="inlineStr"/>
      <c r="L4" s="10" t="inlineStr">
        <is>
          <t>02_参考文献/论文全文/S020_Maher_2023.pdf</t>
        </is>
      </c>
      <c r="M4" s="12" t="inlineStr"/>
      <c r="N4" s="12" t="inlineStr"/>
      <c r="O4" s="12" t="inlineStr"/>
      <c r="P4" s="12" t="inlineStr"/>
      <c r="Q4" s="12" t="inlineStr"/>
      <c r="R4" s="12" t="inlineStr"/>
    </row>
    <row r="5" ht="60" customHeight="1">
      <c r="A5" s="10" t="inlineStr">
        <is>
          <t>S021</t>
        </is>
      </c>
      <c r="B5" s="10" t="inlineStr">
        <is>
          <t>Yang, 2025</t>
        </is>
      </c>
      <c r="C5" s="10" t="inlineStr">
        <is>
          <t>J</t>
        </is>
      </c>
      <c r="D5" s="10" t="inlineStr">
        <is>
          <t>S021-M1, S021-M2, S021-M3, S021-M4</t>
        </is>
      </c>
      <c r="E5" s="10" t="inlineStr">
        <is>
          <t>T</t>
        </is>
      </c>
      <c r="F5" s="10" t="inlineStr">
        <is>
          <t>Yes</t>
        </is>
      </c>
      <c r="G5" s="10" t="inlineStr">
        <is>
          <t>200 of 200 instances solved to optimality in each problem class (CVRP and VRPTW).</t>
        </is>
      </c>
      <c r="H5" s="10" t="inlineStr">
        <is>
          <t>Yes (near-optimal initial UB)</t>
        </is>
      </c>
      <c r="I5" s="10" t="inlineStr">
        <is>
          <t>No</t>
        </is>
      </c>
      <c r="J5" s="10" t="inlineStr">
        <is>
          <t>E-B-S021-07; E-B-S021-08</t>
        </is>
      </c>
      <c r="K5" s="10" t="inlineStr"/>
      <c r="L5" s="10" t="inlineStr">
        <is>
          <t>02_参考文献/论文全文/S021_Yang_2025.pdf</t>
        </is>
      </c>
      <c r="M5" s="12" t="inlineStr"/>
      <c r="N5" s="12" t="str">
        <v>否</v>
      </c>
      <c r="O5" s="12" t="str">
        <v>D010 E4 评估的变体：S021-M1, S021-M4</v>
      </c>
      <c r="P5" s="12" t="str">
        <v>D010 PDF PDF pp.13、21–23；§6引言；§7.5；Table 7</v>
      </c>
      <c r="Q5" s="12" t="str">
        <v>Codex（依据作者裁决）</v>
      </c>
      <c r="R5" s="12" t="str">
        <v>2026-10-15</v>
      </c>
    </row>
    <row r="6">
      <c r="A6" s="10" t="inlineStr">
        <is>
          <t>S022</t>
        </is>
      </c>
      <c r="B6" s="10" t="inlineStr">
        <is>
          <t>Michelini et al., 2026</t>
        </is>
      </c>
      <c r="C6" s="10" t="inlineStr">
        <is>
          <t>J</t>
        </is>
      </c>
      <c r="D6" s="10" t="inlineStr">
        <is>
          <t>S022-M1, S022-M2, S022-M3</t>
        </is>
      </c>
      <c r="E6" s="10" t="inlineStr">
        <is>
          <t>T</t>
        </is>
      </c>
      <c r="F6" s="10" t="inlineStr">
        <is>
          <t>Yes</t>
        </is>
      </c>
      <c r="G6" s="10" t="inlineStr">
        <is>
          <t>Tree proofs, tree time-outs, root failures and recovered incumbents distinguished; all 29 VRPTW 25-customer base cases solved.</t>
        </is>
      </c>
      <c r="H6" s="10" t="inlineStr">
        <is>
          <t>NR</t>
        </is>
      </c>
      <c r="I6" s="10" t="inlineStr">
        <is>
          <t>No</t>
        </is>
      </c>
      <c r="J6" s="10" t="inlineStr">
        <is>
          <t>E-B-S022-01; E-B-S022-02; E-B-S022-03; E-B-S022-04; E-B-S022-05; E-B-S022-06; E-B-S022-07; E-B-S022-08</t>
        </is>
      </c>
      <c r="K6" s="10" t="inlineStr"/>
      <c r="L6" s="10" t="inlineStr">
        <is>
          <t>02_参考文献/论文全文/S022_Michelini_2026.pdf</t>
        </is>
      </c>
      <c r="M6" s="12" t="inlineStr"/>
      <c r="N6" s="12" t="inlineStr"/>
      <c r="O6" s="12" t="inlineStr"/>
      <c r="P6" s="12" t="inlineStr"/>
      <c r="Q6" s="12" t="inlineStr"/>
      <c r="R6" s="12" t="inlineStr"/>
    </row>
    <row r="7">
      <c r="A7" s="10" t="inlineStr">
        <is>
          <t>S023</t>
        </is>
      </c>
      <c r="B7" s="10" t="inlineStr">
        <is>
          <t>du Merle et al., 1999</t>
        </is>
      </c>
      <c r="C7" s="10" t="inlineStr">
        <is>
          <t>J</t>
        </is>
      </c>
      <c r="D7" s="10" t="inlineStr">
        <is>
          <t>S023-M1</t>
        </is>
      </c>
      <c r="E7" s="10" t="inlineStr">
        <is>
          <t>T</t>
        </is>
      </c>
      <c r="F7" s="10" t="inlineStr">
        <is>
          <t>Yes</t>
        </is>
      </c>
      <c r="G7" s="10" t="inlineStr">
        <is>
          <t>Optimal values reported for the four facility-count instances.</t>
        </is>
      </c>
      <c r="H7" s="10" t="inlineStr">
        <is>
          <t>NR</t>
        </is>
      </c>
      <c r="I7" s="10" t="inlineStr">
        <is>
          <t>No</t>
        </is>
      </c>
      <c r="J7" s="10" t="inlineStr">
        <is>
          <t>E-T-S023-03</t>
        </is>
      </c>
      <c r="K7" s="10" t="inlineStr"/>
      <c r="L7" s="10" t="inlineStr">
        <is>
          <t>02_参考文献/论文全文/S023_Merle_1999.pdf</t>
        </is>
      </c>
      <c r="M7" s="12" t="inlineStr"/>
      <c r="N7" s="12" t="inlineStr"/>
      <c r="O7" s="12" t="inlineStr"/>
      <c r="P7" s="12" t="inlineStr"/>
      <c r="Q7" s="12" t="inlineStr"/>
      <c r="R7" s="12" t="inlineStr"/>
    </row>
    <row r="8" ht="60" customHeight="1">
      <c r="A8" s="10" t="inlineStr">
        <is>
          <t>S028</t>
        </is>
      </c>
      <c r="B8" s="10" t="inlineStr">
        <is>
          <t>Gschwind and Irnich, 2015</t>
        </is>
      </c>
      <c r="C8" s="10" t="inlineStr">
        <is>
          <t>J</t>
        </is>
      </c>
      <c r="D8" s="10" t="inlineStr">
        <is>
          <t>S028-M1</t>
        </is>
      </c>
      <c r="E8" s="10" t="inlineStr">
        <is>
          <t>T</t>
        </is>
      </c>
      <c r="F8" s="10" t="inlineStr">
        <is>
          <t>Yes</t>
        </is>
      </c>
      <c r="G8" s="10" t="inlineStr">
        <is>
          <t>Optimality proved for 42 of 42 instances with strong cuts under a one-hour limit; failures reported otherwise.</t>
        </is>
      </c>
      <c r="H8" s="10" t="inlineStr">
        <is>
          <t>NR</t>
        </is>
      </c>
      <c r="I8" s="10" t="inlineStr">
        <is>
          <t>No</t>
        </is>
      </c>
      <c r="J8" s="10" t="inlineStr">
        <is>
          <t>E-T-S028-03; E-T-S028-04; E-T-S028-06; E-T-S028-07</t>
        </is>
      </c>
      <c r="K8" s="10" t="inlineStr"/>
      <c r="L8" s="10" t="inlineStr">
        <is>
          <t>02_参考文献/论文全文/S028_Gschwind_2015.pdf</t>
        </is>
      </c>
      <c r="M8" s="12" t="inlineStr"/>
      <c r="N8" s="12" t="str">
        <v>否</v>
      </c>
      <c r="O8" s="12" t="str">
        <v>D027 是否给树提供上界：No</v>
      </c>
      <c r="P8" s="12" t="str">
        <v>D027 PDF 14、17–18；§5 Branching Strategy and Node Selection；§6.2；Tables 6–7</v>
      </c>
      <c r="Q8" s="12" t="str">
        <v>Codex（依据作者裁决）</v>
      </c>
      <c r="R8" s="12" t="str">
        <v>2026-10-15</v>
      </c>
    </row>
    <row r="9">
      <c r="A9" s="10" t="inlineStr">
        <is>
          <t>S031</t>
        </is>
      </c>
      <c r="B9" s="10" t="inlineStr">
        <is>
          <t>Faldum et al., 2024</t>
        </is>
      </c>
      <c r="C9" s="10" t="inlineStr">
        <is>
          <t>J</t>
        </is>
      </c>
      <c r="D9" s="10" t="inlineStr">
        <is>
          <t>S031-M1</t>
        </is>
      </c>
      <c r="E9" s="10" t="inlineStr">
        <is>
          <t>T</t>
        </is>
      </c>
      <c r="F9" s="10" t="inlineStr">
        <is>
          <t>Yes</t>
        </is>
      </c>
      <c r="G9" s="10" t="inlineStr">
        <is>
          <t>132 versus 131 of 168 and 293 versus 288 of 504 instances solved.</t>
        </is>
      </c>
      <c r="H9" s="10" t="inlineStr">
        <is>
          <t>NR</t>
        </is>
      </c>
      <c r="I9" s="10" t="inlineStr">
        <is>
          <t>No</t>
        </is>
      </c>
      <c r="J9" s="10" t="inlineStr">
        <is>
          <t>E-T-S031-03; E-T-S031-07</t>
        </is>
      </c>
      <c r="K9" s="10" t="inlineStr"/>
      <c r="L9" s="10" t="inlineStr">
        <is>
          <t>02_参考文献/论文全文/S031_Faldum_2024.pdf</t>
        </is>
      </c>
      <c r="M9" s="12" t="inlineStr"/>
      <c r="N9" s="12" t="inlineStr"/>
      <c r="O9" s="12" t="inlineStr"/>
      <c r="P9" s="12" t="inlineStr"/>
      <c r="Q9" s="12" t="inlineStr"/>
      <c r="R9" s="12" t="inlineStr"/>
    </row>
    <row r="10" ht="60" customHeight="1">
      <c r="A10" s="10" t="inlineStr">
        <is>
          <t>S033</t>
        </is>
      </c>
      <c r="B10" s="10" t="inlineStr">
        <is>
          <t>Ropke and Cordeau, 2009</t>
        </is>
      </c>
      <c r="C10" s="10" t="inlineStr">
        <is>
          <t>J</t>
        </is>
      </c>
      <c r="D10" s="10" t="inlineStr">
        <is>
          <t>S033-M1, S033-M2, S033-M3</t>
        </is>
      </c>
      <c r="E10" s="10" t="inlineStr">
        <is>
          <t>T</t>
        </is>
      </c>
      <c r="F10" s="10" t="inlineStr">
        <is>
          <t>Yes</t>
        </is>
      </c>
      <c r="G10" s="10" t="inlineStr">
        <is>
          <t>50 (SP1) and 47 (SP2) of 76 selected instances solved; failures retained as unsolved.</t>
        </is>
      </c>
      <c r="H10" s="10" t="inlineStr">
        <is>
          <t>NR</t>
        </is>
      </c>
      <c r="I10" s="10" t="inlineStr">
        <is>
          <t>No</t>
        </is>
      </c>
      <c r="J10" s="10" t="inlineStr">
        <is>
          <t>E-B-S033-02; E-B-S033-03; E-B-S033-04; E-B-S033-05; E-B-S033-06</t>
        </is>
      </c>
      <c r="K10" s="10" t="inlineStr"/>
      <c r="L10" s="10" t="inlineStr">
        <is>
          <t>02_参考文献/论文全文/S033_Ropke_2009.pdf</t>
        </is>
      </c>
      <c r="M10" s="12" t="inlineStr"/>
      <c r="N10" s="12" t="str">
        <v>否</v>
      </c>
      <c r="O10" s="12" t="str">
        <v>D024 是否给树提供上界：Yes (heuristic solution value + 0.1; heuristic time excluded)</v>
      </c>
      <c r="P10" s="12" t="str">
        <v>D024 PDF 13–14、18–19；§6.3；§7；§7.2及Tables 5–7</v>
      </c>
      <c r="Q10" s="12" t="str">
        <v>Codex（依据作者裁决）</v>
      </c>
      <c r="R10" s="12" t="str">
        <v>2026-10-15</v>
      </c>
    </row>
    <row r="11" ht="60" customHeight="1">
      <c r="A11" s="10" t="inlineStr">
        <is>
          <t>S034</t>
        </is>
      </c>
      <c r="B11" s="10" t="inlineStr">
        <is>
          <t>Silva et al., 2025</t>
        </is>
      </c>
      <c r="C11" s="10" t="inlineStr">
        <is>
          <t>J</t>
        </is>
      </c>
      <c r="D11" s="10" t="inlineStr">
        <is>
          <t>S034-M1</t>
        </is>
      </c>
      <c r="E11" s="10" t="inlineStr">
        <is>
          <t>T</t>
        </is>
      </c>
      <c r="F11" s="10" t="inlineStr">
        <is>
          <t>Yes</t>
        </is>
      </c>
      <c r="G11" s="10" t="inlineStr">
        <is>
          <t>Combined strategies prove optimality where baselines hit time or memory limits; 26 of 70 filtered instances solved with a BKS+1 initial UB.</t>
        </is>
      </c>
      <c r="H11" s="10" t="inlineStr">
        <is>
          <t>Yes (BKS-based UB)</t>
        </is>
      </c>
      <c r="I11" s="10" t="inlineStr">
        <is>
          <t>No</t>
        </is>
      </c>
      <c r="J11" s="10" t="inlineStr">
        <is>
          <t>E-B-S034-01; E-B-S034-02; E-B-S034-03; E-B-S034-04; E-B-S034-05; E-B-S034-06</t>
        </is>
      </c>
      <c r="K11" s="10" t="inlineStr">
        <is>
          <t>Several comparisons use selected instances</t>
        </is>
      </c>
      <c r="L11" s="10" t="inlineStr">
        <is>
          <t>02_参考文献/论文全文/S034_Silva_2025.pdf</t>
        </is>
      </c>
      <c r="M11" s="12" t="inlineStr"/>
      <c r="N11" s="12" t="str">
        <v>否</v>
      </c>
      <c r="O11" s="12" t="str">
        <v>D029 判断依据（原文）：CSB solves 26 of 70 filtered instances; EB+MST and CSB+MST combinations solve 25 of 70. The supplied initial UB is BKS + 1; the time limit is 24 hours per instance.</v>
      </c>
      <c r="P11" s="12" t="str">
        <v>D029 PDF 7, 14；§3; §5.2, Table 6</v>
      </c>
      <c r="Q11" s="12" t="str">
        <v>Codex（依据作者裁决）</v>
      </c>
      <c r="R11" s="12" t="str">
        <v>2026-10-15</v>
      </c>
    </row>
    <row r="12" ht="60" customHeight="1">
      <c r="A12" s="10" t="inlineStr">
        <is>
          <t>S039</t>
        </is>
      </c>
      <c r="B12" s="10" t="inlineStr">
        <is>
          <t>Pessoa et al., 2020</t>
        </is>
      </c>
      <c r="C12" s="10" t="inlineStr">
        <is>
          <t>J</t>
        </is>
      </c>
      <c r="D12" s="10" t="inlineStr">
        <is>
          <t>S039-M1</t>
        </is>
      </c>
      <c r="E12" s="10" t="inlineStr">
        <is>
          <t>T</t>
        </is>
      </c>
      <c r="F12" s="10" t="inlineStr">
        <is>
          <t>Yes</t>
        </is>
      </c>
      <c r="G12" s="10" t="inlineStr">
        <is>
          <t>14/14, 40/40 and 3/30 instances solved in reported benchmark sets; six open instances proved optimal (2.0-15.2 days).</t>
        </is>
      </c>
      <c r="H12" s="10" t="inlineStr">
        <is>
          <t>NR</t>
        </is>
      </c>
      <c r="I12" s="10" t="inlineStr">
        <is>
          <t>No</t>
        </is>
      </c>
      <c r="J12" s="10" t="inlineStr">
        <is>
          <t>E-T-S039-02; E-T-S039-05; E-T-S039-06; E-T-S039-07; E-T-S039-08</t>
        </is>
      </c>
      <c r="K12" s="10" t="inlineStr"/>
      <c r="L12" s="10" t="inlineStr">
        <is>
          <t>02_参考文献/论文全文/S039_Pessoa_2020.pdf</t>
        </is>
      </c>
      <c r="M12" s="12" t="inlineStr"/>
      <c r="N12" s="12" t="str">
        <v>否</v>
      </c>
      <c r="O12" s="12" t="str">
        <v>D025 是否给树提供上界：Yes (problem-dependent supplied primal bounds; no initial bound for CTOP)</v>
      </c>
      <c r="P12" s="12" t="str">
        <v>D025 PDF 28–31；§6; Tables 2–3</v>
      </c>
      <c r="Q12" s="12" t="str">
        <v>Codex（依据作者裁决）</v>
      </c>
      <c r="R12" s="12" t="str">
        <v>2026-10-15</v>
      </c>
    </row>
    <row r="13">
      <c r="A13" s="10" t="inlineStr">
        <is>
          <t>S044</t>
        </is>
      </c>
      <c r="B13" s="10" t="inlineStr">
        <is>
          <t>Irnich et al., 2010</t>
        </is>
      </c>
      <c r="C13" s="10" t="inlineStr">
        <is>
          <t>J</t>
        </is>
      </c>
      <c r="D13" s="10" t="inlineStr">
        <is>
          <t>S044-M1</t>
        </is>
      </c>
      <c r="E13" s="10" t="inlineStr">
        <is>
          <t>T</t>
        </is>
      </c>
      <c r="F13" s="10" t="inlineStr">
        <is>
          <t>Yes</t>
        </is>
      </c>
      <c r="G13" s="10" t="inlineStr">
        <is>
          <t>The report describes complete BPC solution runs for 33 selected VRPTW instances, using a supplied optimal upper bound and replayed branching decisions.</t>
        </is>
      </c>
      <c r="H13" s="10" t="inlineStr">
        <is>
          <t>Yes (optimal UB)</t>
        </is>
      </c>
      <c r="I13" s="10" t="inlineStr">
        <is>
          <t>No</t>
        </is>
      </c>
      <c r="J13" s="10" t="inlineStr">
        <is>
          <t>E-T-S044-03; E-T-S044-05; E-T-S044-06</t>
        </is>
      </c>
      <c r="K13" s="10" t="inlineStr">
        <is>
          <t>Source checked: PDF pp.13, 15-17 (journal pp.308, 310-312), Section 6 and Table 2. Completion is supported by the stated full solution process and solved-instance text; the reported speedup is conditional on the supplied bound and controlled tree.</t>
        </is>
      </c>
      <c r="L13" s="10" t="inlineStr">
        <is>
          <t>02_参考文献/论文全文/S044_Irnich_2010.pdf</t>
        </is>
      </c>
      <c r="M13" s="12" t="inlineStr"/>
      <c r="N13" s="12" t="inlineStr"/>
      <c r="O13" s="12" t="inlineStr"/>
      <c r="P13" s="12" t="inlineStr"/>
      <c r="Q13" s="12" t="inlineStr"/>
      <c r="R13" s="12" t="inlineStr"/>
    </row>
    <row r="14">
      <c r="A14" s="10" t="inlineStr">
        <is>
          <t>S045</t>
        </is>
      </c>
      <c r="B14" s="10" t="inlineStr">
        <is>
          <t>Desaulniers et al., 2020</t>
        </is>
      </c>
      <c r="C14" s="10" t="inlineStr">
        <is>
          <t>J</t>
        </is>
      </c>
      <c r="D14" s="10" t="inlineStr">
        <is>
          <t>S045-M1</t>
        </is>
      </c>
      <c r="E14" s="10" t="inlineStr">
        <is>
          <t>T</t>
        </is>
      </c>
      <c r="F14" s="10" t="inlineStr">
        <is>
          <t>Yes</t>
        </is>
      </c>
      <c r="G14" s="10" t="inlineStr">
        <is>
          <t>459 two-arc-fixing proofs in the selected set; 551 EVRPTW instances proved within one hour.</t>
        </is>
      </c>
      <c r="H14" s="10" t="inlineStr">
        <is>
          <t>Yes (known optimum + 1 for VRPTW)</t>
        </is>
      </c>
      <c r="I14" s="10" t="inlineStr">
        <is>
          <t>No</t>
        </is>
      </c>
      <c r="J14" s="10" t="inlineStr">
        <is>
          <t>E-B-S045-02; E-B-S045-03; E-B-S045-05; E-B-S045-06</t>
        </is>
      </c>
      <c r="K14" s="10" t="inlineStr"/>
      <c r="L14" s="10" t="inlineStr">
        <is>
          <t>02_参考文献/论文全文/S045_Desaulniers_2020.pdf</t>
        </is>
      </c>
      <c r="M14" s="12" t="inlineStr"/>
      <c r="N14" s="12" t="inlineStr"/>
      <c r="O14" s="12" t="inlineStr"/>
      <c r="P14" s="12" t="inlineStr"/>
      <c r="Q14" s="12" t="inlineStr"/>
      <c r="R14" s="12" t="inlineStr"/>
    </row>
    <row r="15" ht="60" customHeight="1">
      <c r="A15" s="10" t="inlineStr">
        <is>
          <t>S046</t>
        </is>
      </c>
      <c r="B15" s="10" t="inlineStr">
        <is>
          <t>Gualandi and Malucelli, 2012</t>
        </is>
      </c>
      <c r="C15" s="10" t="inlineStr">
        <is>
          <t>J</t>
        </is>
      </c>
      <c r="D15" s="10" t="inlineStr">
        <is>
          <t>S046-M1, S046-M2, S046-M3</t>
        </is>
      </c>
      <c r="E15" s="10" t="inlineStr">
        <is>
          <t>T</t>
        </is>
      </c>
      <c r="F15" s="10" t="inlineStr">
        <is>
          <t>Yes</t>
        </is>
      </c>
      <c r="G15" s="10" t="inlineStr">
        <is>
          <t>10 proofs and 7 time-outs in the reported table.</t>
        </is>
      </c>
      <c r="H15" s="10" t="inlineStr">
        <is>
          <t>NR</t>
        </is>
      </c>
      <c r="I15" s="10" t="inlineStr">
        <is>
          <t>No</t>
        </is>
      </c>
      <c r="J15" s="10" t="inlineStr">
        <is>
          <t>E-B-S046-05; E-B-S046-06</t>
        </is>
      </c>
      <c r="K15" s="10" t="inlineStr"/>
      <c r="L15" s="10" t="inlineStr">
        <is>
          <t>02_参考文献/论文全文/S046_Gualandi_2012.pdf</t>
        </is>
      </c>
      <c r="M15" s="12" t="inlineStr"/>
      <c r="N15" s="12" t="inlineStr"/>
      <c r="O15" s="12" t="str">
        <v>D111 是否给树提供上界：未确定。须区分外部提供上界、算法内构造上界及各实验范围。</v>
      </c>
      <c r="P15" s="12" t="str">
        <v>D111 PDF 11, 13–15；§§5.3–5.4; Table 6</v>
      </c>
      <c r="Q15" s="12" t="str">
        <v>Codex（依据作者裁决）</v>
      </c>
      <c r="R15" s="12" t="str">
        <v>2026-10-15</v>
      </c>
    </row>
    <row r="16">
      <c r="A16" s="10" t="inlineStr">
        <is>
          <t>S048</t>
        </is>
      </c>
      <c r="B16" s="10" t="inlineStr">
        <is>
          <t>Václavík et al., 2018</t>
        </is>
      </c>
      <c r="C16" s="10" t="inlineStr">
        <is>
          <t>J</t>
        </is>
      </c>
      <c r="D16" s="10" t="inlineStr">
        <is>
          <t>S048-M1</t>
        </is>
      </c>
      <c r="E16" s="10" t="inlineStr">
        <is>
          <t>ML</t>
        </is>
      </c>
      <c r="F16" s="10" t="inlineStr">
        <is>
          <t>Yes</t>
        </is>
      </c>
      <c r="G16" s="10" t="inlineStr">
        <is>
          <t>Exact optimal solutions reported for 13 nurse-rostering and 12 multiplexing instances (10 runs each).</t>
        </is>
      </c>
      <c r="H16" s="10" t="inlineStr">
        <is>
          <t>NR</t>
        </is>
      </c>
      <c r="I16" s="10" t="inlineStr">
        <is>
          <t>No</t>
        </is>
      </c>
      <c r="J16" s="10" t="inlineStr">
        <is>
          <t>E-A-S048-01; E-A-S048-02; E-A-S048-03; E-A-S048-04; E-A-S048-05</t>
        </is>
      </c>
      <c r="K16" s="10" t="inlineStr">
        <is>
          <t>Time limit not reported</t>
        </is>
      </c>
      <c r="L16" s="10" t="inlineStr">
        <is>
          <t>02_参考文献/论文全文/S048_Vaclavik_2018.pdf</t>
        </is>
      </c>
      <c r="M16" s="12" t="inlineStr"/>
      <c r="N16" s="12" t="inlineStr"/>
      <c r="O16" s="12" t="inlineStr"/>
      <c r="P16" s="12" t="inlineStr"/>
      <c r="Q16" s="12" t="inlineStr"/>
      <c r="R16" s="12" t="inlineStr"/>
    </row>
    <row r="17">
      <c r="A17" s="10" t="inlineStr">
        <is>
          <t>S049</t>
        </is>
      </c>
      <c r="B17" s="10" t="inlineStr">
        <is>
          <t>Furian et al., 2021</t>
        </is>
      </c>
      <c r="C17" s="10" t="inlineStr">
        <is>
          <t>J</t>
        </is>
      </c>
      <c r="D17" s="10" t="inlineStr">
        <is>
          <t>S049-M1, S049-M2</t>
        </is>
      </c>
      <c r="E17" s="10" t="inlineStr">
        <is>
          <t>ML</t>
        </is>
      </c>
      <c r="F17" s="10" t="inlineStr">
        <is>
          <t>Yes</t>
        </is>
      </c>
      <c r="G17" s="10" t="inlineStr">
        <is>
          <t>Most test instances solved within the 4 h or 25000-open-node limits (e.g., 200/200 for one base instance).</t>
        </is>
      </c>
      <c r="H17" s="10" t="inlineStr">
        <is>
          <t>NR</t>
        </is>
      </c>
      <c r="I17" s="10" t="inlineStr">
        <is>
          <t>No</t>
        </is>
      </c>
      <c r="J17" s="10" t="inlineStr">
        <is>
          <t>E-A-S049-01; E-A-S049-02; E-A-S049-03; E-A-S049-04; E-A-S049-05</t>
        </is>
      </c>
      <c r="K17" s="10" t="inlineStr"/>
      <c r="L17" s="10" t="inlineStr">
        <is>
          <t>02_参考文献/论文全文/S049_Furian_2021.pdf</t>
        </is>
      </c>
      <c r="M17" s="12" t="inlineStr"/>
      <c r="N17" s="12" t="inlineStr"/>
      <c r="O17" s="12" t="inlineStr"/>
      <c r="P17" s="12" t="inlineStr"/>
      <c r="Q17" s="12" t="inlineStr"/>
      <c r="R17" s="12" t="inlineStr"/>
    </row>
    <row r="18">
      <c r="A18" s="10" t="inlineStr">
        <is>
          <t>S052</t>
        </is>
      </c>
      <c r="B18" s="10" t="inlineStr">
        <is>
          <t>Zhang et al., 2022</t>
        </is>
      </c>
      <c r="C18" s="10" t="inlineStr">
        <is>
          <t>J</t>
        </is>
      </c>
      <c r="D18" s="10" t="inlineStr">
        <is>
          <t>S052-M2, S052-M3</t>
        </is>
      </c>
      <c r="E18" s="10" t="inlineStr">
        <is>
          <t>ML</t>
        </is>
      </c>
      <c r="F18" s="10" t="inlineStr">
        <is>
          <t>Yes</t>
        </is>
      </c>
      <c r="G18" s="10" t="inlineStr">
        <is>
          <t>15 Class A proofs among 16 exact-dominance attempts.</t>
        </is>
      </c>
      <c r="H18" s="10" t="inlineStr">
        <is>
          <t>NR</t>
        </is>
      </c>
      <c r="I18" s="10" t="inlineStr">
        <is>
          <t>No</t>
        </is>
      </c>
      <c r="J18" s="10" t="inlineStr">
        <is>
          <t>E-A-S052-01; E-A-S052-05; E-A-S052-06</t>
        </is>
      </c>
      <c r="K18" s="10" t="inlineStr"/>
      <c r="L18" s="10" t="inlineStr">
        <is>
          <t>02_参考文献/论文全文/S052_Zhang_2022.pdf</t>
        </is>
      </c>
      <c r="M18" s="12" t="inlineStr"/>
      <c r="N18" s="12" t="inlineStr"/>
      <c r="O18" s="12" t="inlineStr"/>
      <c r="P18" s="12" t="inlineStr"/>
      <c r="Q18" s="12" t="inlineStr"/>
      <c r="R18" s="12" t="inlineStr"/>
    </row>
    <row r="19" ht="60" customHeight="1">
      <c r="A19" s="10" t="inlineStr">
        <is>
          <t>S053</t>
        </is>
      </c>
      <c r="B19" s="10" t="inlineStr">
        <is>
          <t>Shen et al., 2022</t>
        </is>
      </c>
      <c r="C19" s="10" t="inlineStr">
        <is>
          <t>Cnf</t>
        </is>
      </c>
      <c r="D19" s="10" t="inlineStr">
        <is>
          <t>S053-M1</t>
        </is>
      </c>
      <c r="E19" s="10" t="inlineStr">
        <is>
          <t>ML</t>
        </is>
      </c>
      <c r="F19" s="10" t="inlineStr">
        <is>
          <t>Yes</t>
        </is>
      </c>
      <c r="G19" s="10" t="inlineStr">
        <is>
          <t>Zero-gap runs: 482 versus 444 and 1524 versus 1325 of 1584 runs (8000 s cutoff).</t>
        </is>
      </c>
      <c r="H19" s="10" t="inlineStr">
        <is>
          <t>NR</t>
        </is>
      </c>
      <c r="I19" s="10" t="inlineStr">
        <is>
          <t>No</t>
        </is>
      </c>
      <c r="J19" s="10" t="inlineStr">
        <is>
          <t>E-A-S053-02; E-A-S053-03; E-A-S053-04; E-A-S053-05</t>
        </is>
      </c>
      <c r="K19" s="10" t="inlineStr"/>
      <c r="L19" s="10" t="inlineStr">
        <is>
          <t>02_参考文献/论文全文/S053_Shen_2022.pdf</t>
        </is>
      </c>
      <c r="M19" s="12" t="inlineStr"/>
      <c r="N19" s="12" t="str">
        <v>否</v>
      </c>
      <c r="O19" s="12" t="str">
        <v>D028 判断依据（原文）：Zero-gap runs: 482 versus 444 of 1584 runs; root-LP completions with a reported gap: 1524 versus 1325 (8000 s cutoff).</v>
      </c>
      <c r="P19" s="12" t="str">
        <v>D028 PDF 5–7；B&amp;P Setup; Fig.5; Tables 4–6</v>
      </c>
      <c r="Q19" s="12" t="str">
        <v>Codex（依据作者裁决）</v>
      </c>
      <c r="R19" s="12" t="str">
        <v>2026-10-15</v>
      </c>
    </row>
    <row r="20">
      <c r="A20" s="10" t="inlineStr">
        <is>
          <t>S058</t>
        </is>
      </c>
      <c r="B20" s="10" t="inlineStr">
        <is>
          <t>Koutecká et al., 2025</t>
        </is>
      </c>
      <c r="C20" s="10" t="inlineStr">
        <is>
          <t>J</t>
        </is>
      </c>
      <c r="D20" s="10" t="inlineStr">
        <is>
          <t>S058-M1</t>
        </is>
      </c>
      <c r="E20" s="10" t="inlineStr">
        <is>
          <t>ML</t>
        </is>
      </c>
      <c r="F20" s="10" t="inlineStr">
        <is>
          <t>Yes</t>
        </is>
      </c>
      <c r="G20" s="10" t="inlineStr">
        <is>
          <t>All nine 5-day cases solved to optimality; 5 of 9 10-day cases.</t>
        </is>
      </c>
      <c r="H20" s="10" t="inlineStr">
        <is>
          <t>NR</t>
        </is>
      </c>
      <c r="I20" s="10" t="inlineStr">
        <is>
          <t>No</t>
        </is>
      </c>
      <c r="J20" s="10" t="inlineStr">
        <is>
          <t>E-A-S058-01; E-A-S058-03; E-A-S058-04; E-A-S058-05</t>
        </is>
      </c>
      <c r="K20" s="10" t="inlineStr"/>
      <c r="L20" s="10" t="inlineStr">
        <is>
          <t>02_参考文献/论文全文/S058_Koutecka_2025.pdf</t>
        </is>
      </c>
      <c r="M20" s="12" t="inlineStr"/>
      <c r="N20" s="12" t="inlineStr"/>
      <c r="O20" s="12" t="inlineStr"/>
      <c r="P20" s="12" t="inlineStr"/>
      <c r="Q20" s="12" t="inlineStr"/>
      <c r="R20" s="12" t="inlineStr"/>
    </row>
    <row r="21">
      <c r="A21" s="10" t="inlineStr">
        <is>
          <t>S062</t>
        </is>
      </c>
      <c r="B21" s="10" t="inlineStr">
        <is>
          <t>You et al., 2026b</t>
        </is>
      </c>
      <c r="C21" s="10" t="inlineStr">
        <is>
          <t>J</t>
        </is>
      </c>
      <c r="D21" s="10" t="inlineStr">
        <is>
          <t>S062-M1, S062-M2, S062-M3</t>
        </is>
      </c>
      <c r="E21" s="10" t="inlineStr">
        <is>
          <t>ML/T</t>
        </is>
      </c>
      <c r="F21" s="10" t="inlineStr">
        <is>
          <t>Yes</t>
        </is>
      </c>
      <c r="G21" s="10" t="inlineStr">
        <is>
          <t>Complete tree solves on 90 CVRP150 instances with an optimal (or 0.1% above optimal) supplied UB; proofs for 2 of 5 selected large instances.</t>
        </is>
      </c>
      <c r="H21" s="10" t="inlineStr">
        <is>
          <t>Yes (optimal or near-optimal UB)</t>
        </is>
      </c>
      <c r="I21" s="10" t="inlineStr">
        <is>
          <t>No</t>
        </is>
      </c>
      <c r="J21" s="10" t="inlineStr">
        <is>
          <t>E-A-S062-01; E-A-S062-02; E-A-S062-03; E-A-S062-04; E-A-S062-05</t>
        </is>
      </c>
      <c r="K21" s="10" t="inlineStr"/>
      <c r="L21" s="10" t="inlineStr">
        <is>
          <t>02_参考文献/论文全文/S062_You_2026.pdf</t>
        </is>
      </c>
      <c r="M21" s="12" t="inlineStr"/>
      <c r="N21" s="12" t="inlineStr"/>
      <c r="O21" s="12" t="inlineStr"/>
      <c r="P21" s="12" t="inlineStr"/>
      <c r="Q21" s="12" t="inlineStr"/>
      <c r="R21" s="12" t="inlineStr"/>
    </row>
    <row r="22">
      <c r="A22" s="10" t="inlineStr">
        <is>
          <t>S083</t>
        </is>
      </c>
      <c r="B22" s="10" t="inlineStr">
        <is>
          <t>Xia and Zhang, 2024</t>
        </is>
      </c>
      <c r="C22" s="10" t="inlineStr">
        <is>
          <t>Cnf</t>
        </is>
      </c>
      <c r="D22" s="10" t="inlineStr">
        <is>
          <t>S083-M1</t>
        </is>
      </c>
      <c r="E22" s="10" t="inlineStr">
        <is>
          <t>ML</t>
        </is>
      </c>
      <c r="F22" s="10" t="inlineStr">
        <is>
          <t>Yes</t>
        </is>
      </c>
      <c r="G22" s="10" t="inlineStr">
        <is>
          <t>A single showcased instance solved to optimality; the baseline exceeds memory.</t>
        </is>
      </c>
      <c r="H22" s="10" t="inlineStr">
        <is>
          <t>NR</t>
        </is>
      </c>
      <c r="I22" s="10" t="inlineStr">
        <is>
          <t>Yes</t>
        </is>
      </c>
      <c r="J22" s="10" t="inlineStr">
        <is>
          <t>E-B-S083-03</t>
        </is>
      </c>
      <c r="K22" s="10" t="inlineStr">
        <is>
          <t>Supplement not accessed</t>
        </is>
      </c>
      <c r="L22" s="10" t="inlineStr">
        <is>
          <t>02_参考文献/论文全文/S083_Xia_2024.pdf</t>
        </is>
      </c>
      <c r="M22" s="12" t="inlineStr"/>
      <c r="N22" s="12" t="inlineStr"/>
      <c r="O22" s="12" t="inlineStr"/>
      <c r="P22" s="12" t="inlineStr"/>
      <c r="Q22" s="12" t="inlineStr"/>
      <c r="R22" s="12" t="inlineStr"/>
    </row>
    <row r="23">
      <c r="A23" s="10" t="inlineStr">
        <is>
          <t>S088</t>
        </is>
      </c>
      <c r="B23" s="10" t="inlineStr">
        <is>
          <t>Xu et al., 2024</t>
        </is>
      </c>
      <c r="C23" s="10" t="inlineStr">
        <is>
          <t>Cnf</t>
        </is>
      </c>
      <c r="D23" s="10" t="inlineStr">
        <is>
          <t>S088-M1</t>
        </is>
      </c>
      <c r="E23" s="10" t="inlineStr">
        <is>
          <t>ML</t>
        </is>
      </c>
      <c r="F23" s="10" t="inlineStr">
        <is>
          <t>Yes</t>
        </is>
      </c>
      <c r="G23" s="10" t="inlineStr">
        <is>
          <t>Optimal cases 14/17/3/1 (learned) versus 14/9/4/0 (solution-pool baseline), each out of 28.</t>
        </is>
      </c>
      <c r="H23" s="10" t="inlineStr">
        <is>
          <t>NR</t>
        </is>
      </c>
      <c r="I23" s="10" t="inlineStr">
        <is>
          <t>No</t>
        </is>
      </c>
      <c r="J23" s="10" t="inlineStr">
        <is>
          <t>E-B-S088-01; E-B-S088-03</t>
        </is>
      </c>
      <c r="K23" s="10" t="inlineStr"/>
      <c r="L23" s="10" t="inlineStr">
        <is>
          <t>02_参考文献/论文全文/S088_Xu_2024.pdf</t>
        </is>
      </c>
      <c r="M23" s="12" t="inlineStr"/>
      <c r="N23" s="12" t="inlineStr"/>
      <c r="O23" s="12" t="inlineStr"/>
      <c r="P23" s="12" t="inlineStr"/>
      <c r="Q23" s="12" t="inlineStr"/>
      <c r="R23" s="12" t="inlineStr"/>
    </row>
    <row r="24" ht="60" customHeight="1">
      <c r="A24" s="10" t="inlineStr">
        <is>
          <t>S091</t>
        </is>
      </c>
      <c r="B24" s="10" t="inlineStr">
        <is>
          <t>Shan et al., 2026</t>
        </is>
      </c>
      <c r="C24" s="10" t="inlineStr">
        <is>
          <t>P</t>
        </is>
      </c>
      <c r="D24" s="10" t="inlineStr">
        <is>
          <t>S091-M1</t>
        </is>
      </c>
      <c r="E24" s="10" t="inlineStr">
        <is>
          <t>ML</t>
        </is>
      </c>
      <c r="F24" s="10" t="inlineStr">
        <is>
          <t>Yes</t>
        </is>
      </c>
      <c r="G24" s="10" t="inlineStr">
        <is>
          <t>The main report states that all four policies completed 18 of 30 benchmark families within the 60-second limit under the prescribed numerical gap criterion.</t>
        </is>
      </c>
      <c r="H24" s="10" t="inlineStr">
        <is>
          <t>NR</t>
        </is>
      </c>
      <c r="I24" s="10" t="inlineStr">
        <is>
          <t>No</t>
        </is>
      </c>
      <c r="J24" s="10" t="inlineStr">
        <is>
          <t>E-R-S091-01; E-R-S091-02; E-R-S091-04; E-R-S091-06</t>
        </is>
      </c>
      <c r="K24" s="10" t="inlineStr">
        <is>
          <t>Source checked: PDF pp.28-31, Theorem 1 and Sections 7.1-7.3. Numerical gap thresholds and complete per-policy outcomes are referred to the unavailable supplement. Reported completion is not recoded as verified exact optimality; preprint.</t>
        </is>
      </c>
      <c r="L24" s="10" t="inlineStr">
        <is>
          <t>02_参考文献/论文全文/S091_Shan_2026.pdf</t>
        </is>
      </c>
      <c r="M24" s="12" t="inlineStr"/>
      <c r="N24" s="12" t="inlineStr"/>
      <c r="O24" s="12" t="str">
        <v>D112 是否给树提供上界：未确定。须区分外部提供上界、算法内构造上界及各实验范围。</v>
      </c>
      <c r="P24" s="12" t="str">
        <v>D112 PDF 29–32；§7.1–7.4;Fig5</v>
      </c>
      <c r="Q24" s="12" t="str">
        <v>Codex（依据作者裁决）</v>
      </c>
      <c r="R24" s="12" t="str">
        <v>2026-10-15</v>
      </c>
    </row>
    <row r="25">
      <c r="A25" s="10" t="inlineStr">
        <is>
          <t>S102</t>
        </is>
      </c>
      <c r="B25" s="10" t="inlineStr">
        <is>
          <t>Zhang et al., 2026</t>
        </is>
      </c>
      <c r="C25" s="10" t="inlineStr">
        <is>
          <t>J</t>
        </is>
      </c>
      <c r="D25" s="10" t="inlineStr">
        <is>
          <t>S102-M1, S102-M2, S102-M3</t>
        </is>
      </c>
      <c r="E25" s="10" t="inlineStr">
        <is>
          <t>T</t>
        </is>
      </c>
      <c r="F25" s="10" t="inlineStr">
        <is>
          <t>No</t>
        </is>
      </c>
      <c r="G25" s="10" t="inlineStr">
        <is>
          <t>No decomposition tree proof: 0 of 6 small tree checks completed; comparative runs limit-terminated.</t>
        </is>
      </c>
      <c r="H25" s="10" t="inlineStr">
        <is>
          <t>NR</t>
        </is>
      </c>
      <c r="I25" s="10" t="inlineStr">
        <is>
          <t>No</t>
        </is>
      </c>
      <c r="J25" s="10" t="inlineStr">
        <is>
          <t>E-U-S102-06; E-U-S102-11; E-U-S102-17; E-U-S102-18</t>
        </is>
      </c>
      <c r="K25" s="10" t="inlineStr">
        <is>
          <t>Online File S1 not accessed</t>
        </is>
      </c>
      <c r="L25" s="10" t="inlineStr">
        <is>
          <t>02_参考文献/论文全文/CL002_Zhang_2026.pdf</t>
        </is>
      </c>
      <c r="M25" s="12" t="inlineStr"/>
      <c r="N25" s="12" t="inlineStr"/>
      <c r="O25" s="12" t="inlineStr"/>
      <c r="P25" s="12" t="inlineStr"/>
      <c r="Q25" s="12" t="inlineStr"/>
      <c r="R25" s="12" t="inlineStr"/>
    </row>
  </sheetData>
  <autoFilter ref="A1:R25"/>
  <dataValidations count="3">
    <dataValidation sqref="M2:M25" showDropDown="0" showInputMessage="0" showErrorMessage="1" allowBlank="1" errorTitle="无效输入" error="请从下拉列表中选择" type="list">
      <formula1>"是,否"</formula1>
    </dataValidation>
    <dataValidation sqref="N2:N25" showDropDown="0" showInputMessage="0" showErrorMessage="1" allowBlank="1" errorTitle="无效输入" error="请从下拉列表中选择" type="list">
      <formula1>"是,否"</formula1>
    </dataValidation>
    <dataValidation sqref="R2:R25"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22" customWidth="1" min="3" max="3"/>
    <col width="7" customWidth="1" min="4" max="4"/>
    <col width="7" customWidth="1" min="5" max="5"/>
    <col width="24" customWidth="1" min="6" max="6"/>
    <col width="44" customWidth="1" min="7" max="7"/>
    <col width="24" customWidth="1" min="8" max="8"/>
    <col width="30" customWidth="1" min="9" max="9"/>
    <col width="34" customWidth="1" min="10" max="10"/>
    <col width="30" customWidth="1" min="11" max="11"/>
    <col width="9" customWidth="1" min="12" max="12"/>
    <col width="8" customWidth="1" min="13" max="13"/>
    <col width="9" customWidth="1" min="14" max="14"/>
    <col width="9" customWidth="1" min="15" max="15"/>
    <col width="85" customWidth="1" min="16" max="16"/>
    <col width="9" customWidth="1" min="17" max="17"/>
    <col width="11" customWidth="1" min="18" max="18"/>
  </cols>
  <sheetData>
    <row r="1" ht="42" customHeight="1">
      <c r="A1" s="7" t="inlineStr">
        <is>
          <t>证据编号</t>
        </is>
      </c>
      <c r="B1" s="7" t="inlineStr">
        <is>
          <t>变体ID</t>
        </is>
      </c>
      <c r="C1" s="7" t="inlineStr">
        <is>
          <t>变体名称</t>
        </is>
      </c>
      <c r="D1" s="7" t="inlineStr">
        <is>
          <t>PDF 页</t>
        </is>
      </c>
      <c r="E1" s="7" t="inlineStr">
        <is>
          <t>印刷页</t>
        </is>
      </c>
      <c r="F1" s="7" t="inlineStr">
        <is>
          <t>位置</t>
        </is>
      </c>
      <c r="G1" s="7" t="inlineStr">
        <is>
          <t>证据摘要（AI 整理）</t>
        </is>
      </c>
      <c r="H1" s="7" t="inlineStr">
        <is>
          <t>支持的范围</t>
        </is>
      </c>
      <c r="I1" s="7" t="inlineStr">
        <is>
          <t>边界条件</t>
        </is>
      </c>
      <c r="J1" s="7" t="inlineStr">
        <is>
          <t>补充证据</t>
        </is>
      </c>
      <c r="K1" s="7" t="inlineStr">
        <is>
          <t>本地原文</t>
        </is>
      </c>
      <c r="L1" s="8" t="inlineStr">
        <is>
          <t>已打开原文核对 ✎</t>
        </is>
      </c>
      <c r="M1" s="8" t="inlineStr">
        <is>
          <t>页码正确 ✎</t>
        </is>
      </c>
      <c r="N1" s="8" t="inlineStr">
        <is>
          <t>摘要与原文一致 ✎</t>
        </is>
      </c>
      <c r="O1" s="8" t="inlineStr">
        <is>
          <t>支持的范围正确 ✎</t>
        </is>
      </c>
      <c r="P1" s="8" t="inlineStr">
        <is>
          <t>修改说明 ✎</t>
        </is>
      </c>
      <c r="Q1" s="8" t="inlineStr">
        <is>
          <t>核对人 ✎</t>
        </is>
      </c>
      <c r="R1" s="8" t="inlineStr">
        <is>
          <t>日期 ✎</t>
        </is>
      </c>
    </row>
    <row r="2">
      <c r="A2" s="10" t="inlineStr">
        <is>
          <t>S105-M1-AUDIT</t>
        </is>
      </c>
      <c r="B2" s="10" t="inlineStr">
        <is>
          <t>S105-M1</t>
        </is>
      </c>
      <c r="C2" s="10" t="inlineStr">
        <is>
          <t>Pure diving</t>
        </is>
      </c>
      <c r="D2" s="10" t="inlineStr">
        <is>
          <t>13-14</t>
        </is>
      </c>
      <c r="E2" s="10" t="inlineStr">
        <is>
          <t>12-13</t>
        </is>
      </c>
      <c r="F2" s="10" t="inlineStr">
        <is>
          <t>Section 5.1; Table 1</t>
        </is>
      </c>
      <c r="G2" s="10" t="inlineStr">
        <is>
          <t>Round a selected master variable to a nonzero integer through a lower-bound update; preprocess proper columns and reoptimize the residual master by CG at successive nodes.</t>
        </is>
      </c>
      <c r="H2" s="10" t="inlineStr">
        <is>
          <t>E3 heuristic incumbent construction within the B&amp;P setting</t>
        </is>
      </c>
      <c r="I2" s="10" t="inlineStr">
        <is>
          <t>No general complete-tree proof; heuristic branching chooses a restricted path.</t>
        </is>
      </c>
      <c r="J2" s="10" t="inlineStr">
        <is>
          <t>Section 6 variant list: PDF p22 / printed p21; Table 5: PDF p24 / printed p23; Tables 8 and 9 apply to seven variants because feasibility is not an issue in CSP and vertex coloring.</t>
        </is>
      </c>
      <c r="K2" s="10" t="inlineStr">
        <is>
          <t>90_过程归档/大修_v1.5/fulltext/Sadykov/PDFs/Primal_Heuristics_for_Branch_and_Price.pdf</t>
        </is>
      </c>
      <c r="L2" s="12" t="inlineStr"/>
      <c r="M2" s="12" t="inlineStr"/>
      <c r="N2" s="12" t="inlineStr"/>
      <c r="O2" s="12" t="inlineStr"/>
      <c r="P2" s="12" t="inlineStr"/>
      <c r="Q2" s="12" t="inlineStr"/>
      <c r="R2" s="12" t="inlineStr"/>
    </row>
    <row r="3">
      <c r="A3" s="10" t="inlineStr">
        <is>
          <t>S105-M2-AUDIT</t>
        </is>
      </c>
      <c r="B3" s="10" t="inlineStr">
        <is>
          <t>S105-M2</t>
        </is>
      </c>
      <c r="C3" s="10" t="inlineStr">
        <is>
          <t>Diving for feasibility</t>
        </is>
      </c>
      <c r="D3" s="10" t="inlineStr">
        <is>
          <t>15-16</t>
        </is>
      </c>
      <c r="E3" s="10" t="inlineStr">
        <is>
          <t>14-15</t>
        </is>
      </c>
      <c r="F3" s="10" t="inlineStr">
        <is>
          <t>Section 5.2; Figure 2(b)</t>
        </is>
      </c>
      <c r="G3" s="10" t="inlineStr">
        <is>
          <t>A limited-discrepancy dive with maxDepth set to infinity and maxDiscrepancy equal to 1; stop when the first feasible solution is found.</t>
        </is>
      </c>
      <c r="H3" s="10" t="inlineStr">
        <is>
          <t>E3 heuristic incumbent construction within the B&amp;P setting</t>
        </is>
      </c>
      <c r="I3" s="10" t="inlineStr">
        <is>
          <t>First-incumbent stopping rule does not exhaust the original tree.</t>
        </is>
      </c>
      <c r="J3" s="10" t="inlineStr">
        <is>
          <t>Section 6 variant list: PDF p22 / printed p21; Table 5: PDF p24 / printed p23; Tables 8 and 9 apply to seven variants because feasibility is not an issue in CSP and vertex coloring.</t>
        </is>
      </c>
      <c r="K3" s="10" t="inlineStr">
        <is>
          <t>90_过程归档/大修_v1.5/fulltext/Sadykov/PDFs/Primal_Heuristics_for_Branch_and_Price.pdf</t>
        </is>
      </c>
      <c r="L3" s="12" t="inlineStr"/>
      <c r="M3" s="12" t="inlineStr"/>
      <c r="N3" s="12" t="inlineStr"/>
      <c r="O3" s="12" t="inlineStr"/>
      <c r="P3" s="12" t="inlineStr"/>
      <c r="Q3" s="12" t="inlineStr"/>
      <c r="R3" s="12" t="inlineStr"/>
    </row>
    <row r="4">
      <c r="A4" s="10" t="inlineStr">
        <is>
          <t>S105-M3-AUDIT</t>
        </is>
      </c>
      <c r="B4" s="10" t="inlineStr">
        <is>
          <t>S105-M3</t>
        </is>
      </c>
      <c r="C4" s="10" t="inlineStr">
        <is>
          <t>Diving with restarts</t>
        </is>
      </c>
      <c r="D4" s="10" t="inlineStr">
        <is>
          <t>18-19</t>
        </is>
      </c>
      <c r="E4" s="10" t="inlineStr">
        <is>
          <t>17-18</t>
        </is>
      </c>
      <c r="F4" s="10" t="inlineStr">
        <is>
          <t>Section 5.4; Table 4</t>
        </is>
      </c>
      <c r="G4" s="10" t="inlineStr">
        <is>
          <t>Obtain an incumbent with feasibility diving; fix a randomly selected part of it, restart pure diving, and retain an improving feasible solution.</t>
        </is>
      </c>
      <c r="H4" s="10" t="inlineStr">
        <is>
          <t>E3 heuristic incumbent construction within the B&amp;P setting</t>
        </is>
      </c>
      <c r="I4" s="10" t="inlineStr">
        <is>
          <t>Repeated restricted dives form a neighborhood search, not exhaustive B&amp;P.</t>
        </is>
      </c>
      <c r="J4" s="10" t="inlineStr">
        <is>
          <t>Section 6 variant list: PDF p22 / printed p21; Table 5: PDF p24 / printed p23; Tables 8 and 9 apply to seven variants because feasibility is not an issue in CSP and vertex coloring.</t>
        </is>
      </c>
      <c r="K4" s="10" t="inlineStr">
        <is>
          <t>90_过程归档/大修_v1.5/fulltext/Sadykov/PDFs/Primal_Heuristics_for_Branch_and_Price.pdf</t>
        </is>
      </c>
      <c r="L4" s="12" t="inlineStr"/>
      <c r="M4" s="12" t="inlineStr"/>
      <c r="N4" s="12" t="inlineStr"/>
      <c r="O4" s="12" t="inlineStr"/>
      <c r="P4" s="12" t="inlineStr"/>
      <c r="Q4" s="12" t="inlineStr"/>
      <c r="R4" s="12" t="inlineStr"/>
    </row>
    <row r="5">
      <c r="A5" s="10" t="inlineStr">
        <is>
          <t>S105-M4-AUDIT</t>
        </is>
      </c>
      <c r="B5" s="10" t="inlineStr">
        <is>
          <t>S105-M4</t>
        </is>
      </c>
      <c r="C5" s="10" t="inlineStr">
        <is>
          <t>Local branching after a feasible dive</t>
        </is>
      </c>
      <c r="D5" s="10" t="inlineStr">
        <is>
          <t>20-21</t>
        </is>
      </c>
      <c r="E5" s="10" t="inlineStr">
        <is>
          <t>19-20</t>
        </is>
      </c>
      <c r="F5" s="10" t="inlineStr">
        <is>
          <t>Section 5.6; equation (13)</t>
        </is>
      </c>
      <c r="G5" s="10" t="inlineStr">
        <is>
          <t>After feasibility diving, restrict deviation from the incumbent using a local-branching constraint in a sub-MIP; the full B&amp;P variant is discussed separately as too demanding in the authors' tests.</t>
        </is>
      </c>
      <c r="H5" s="10" t="inlineStr">
        <is>
          <t>E3 heuristic incumbent construction within the B&amp;P setting</t>
        </is>
      </c>
      <c r="I5" s="10" t="inlineStr">
        <is>
          <t>A neighborhood cut restricts feasible solutions; this evaluated procedure is not a global complete-tree comparison.</t>
        </is>
      </c>
      <c r="J5" s="10" t="inlineStr">
        <is>
          <t>Section 6 variant list: PDF p22 / printed p21; Table 5: PDF p24 / printed p23; Tables 8 and 9 apply to seven variants because feasibility is not an issue in CSP and vertex coloring.</t>
        </is>
      </c>
      <c r="K5" s="10" t="inlineStr">
        <is>
          <t>90_过程归档/大修_v1.5/fulltext/Sadykov/PDFs/Primal_Heuristics_for_Branch_and_Price.pdf</t>
        </is>
      </c>
      <c r="L5" s="12" t="inlineStr"/>
      <c r="M5" s="12" t="inlineStr"/>
      <c r="N5" s="12" t="inlineStr"/>
      <c r="O5" s="12" t="inlineStr"/>
      <c r="P5" s="12" t="inlineStr"/>
      <c r="Q5" s="12" t="inlineStr"/>
      <c r="R5" s="12" t="inlineStr"/>
    </row>
    <row r="6">
      <c r="A6" s="10" t="inlineStr">
        <is>
          <t>S105-M5-AUDIT</t>
        </is>
      </c>
      <c r="B6" s="10" t="inlineStr">
        <is>
          <t>S105-M5</t>
        </is>
      </c>
      <c r="C6" s="10" t="inlineStr">
        <is>
          <t>Diving with limited discrepancy search</t>
        </is>
      </c>
      <c r="D6" s="10" t="inlineStr">
        <is>
          <t>15-16</t>
        </is>
      </c>
      <c r="E6" s="10" t="inlineStr">
        <is>
          <t>14-15</t>
        </is>
      </c>
      <c r="F6" s="10" t="inlineStr">
        <is>
          <t>Section 5.2; Table 2; Figure 2(a)</t>
        </is>
      </c>
      <c r="G6" s="10" t="inlineStr">
        <is>
          <t>Use a tabu list to prevent repetition of rounding decisions after backtracking; limit the search using maximum discrepancy and depth.</t>
        </is>
      </c>
      <c r="H6" s="10" t="inlineStr">
        <is>
          <t>E3 heuristic incumbent construction within the B&amp;P setting</t>
        </is>
      </c>
      <c r="I6" s="10" t="inlineStr">
        <is>
          <t>Finite discrepancy and depth limits do not establish exhaustive global search.</t>
        </is>
      </c>
      <c r="J6" s="10" t="inlineStr">
        <is>
          <t>Section 6 variant list: PDF p22 / printed p21; Table 5: PDF p24 / printed p23; Tables 8 and 9 apply to seven variants because feasibility is not an issue in CSP and vertex coloring.</t>
        </is>
      </c>
      <c r="K6" s="10" t="inlineStr">
        <is>
          <t>90_过程归档/大修_v1.5/fulltext/Sadykov/PDFs/Primal_Heuristics_for_Branch_and_Price.pdf</t>
        </is>
      </c>
      <c r="L6" s="12" t="inlineStr"/>
      <c r="M6" s="12" t="inlineStr"/>
      <c r="N6" s="12" t="inlineStr"/>
      <c r="O6" s="12" t="inlineStr"/>
      <c r="P6" s="12" t="inlineStr"/>
      <c r="Q6" s="12" t="inlineStr"/>
      <c r="R6" s="12" t="inlineStr"/>
    </row>
    <row r="7">
      <c r="A7" s="10" t="inlineStr">
        <is>
          <t>S105-M6-AUDIT</t>
        </is>
      </c>
      <c r="B7" s="10" t="inlineStr">
        <is>
          <t>S105-M6</t>
        </is>
      </c>
      <c r="C7" s="10" t="inlineStr">
        <is>
          <t>Strong diving</t>
        </is>
      </c>
      <c r="D7" s="10" t="inlineStr">
        <is>
          <t>16-18</t>
        </is>
      </c>
      <c r="E7" s="10" t="inlineStr">
        <is>
          <t>15-17</t>
        </is>
      </c>
      <c r="F7" s="10" t="inlineStr">
        <is>
          <t>Section 5.3; Table 3</t>
        </is>
      </c>
      <c r="G7" s="10" t="inlineStr">
        <is>
          <t>Temporarily round candidate columns and reoptimize their residual masters; choose the candidate with the smallest increase in the LP bound and combine with limited backtracking.</t>
        </is>
      </c>
      <c r="H7" s="10" t="inlineStr">
        <is>
          <t>E3 heuristic incumbent construction within the B&amp;P setting</t>
        </is>
      </c>
      <c r="I7" s="10" t="inlineStr">
        <is>
          <t>The aim is primal solution quality. Some CSP cases can nevertheless be certified by matching an existing root lower bound.</t>
        </is>
      </c>
      <c r="J7" s="10" t="inlineStr">
        <is>
          <t>Section 6 variant list: PDF p22 / printed p21; Table 5: PDF p24 / printed p23; Tables 8 and 9 apply to seven variants because feasibility is not an issue in CSP and vertex coloring.</t>
        </is>
      </c>
      <c r="K7" s="10" t="inlineStr">
        <is>
          <t>90_过程归档/大修_v1.5/fulltext/Sadykov/PDFs/Primal_Heuristics_for_Branch_and_Price.pdf</t>
        </is>
      </c>
      <c r="L7" s="12" t="inlineStr"/>
      <c r="M7" s="12" t="inlineStr"/>
      <c r="N7" s="12" t="inlineStr"/>
      <c r="O7" s="12" t="inlineStr"/>
      <c r="P7" s="12" t="inlineStr"/>
      <c r="Q7" s="12" t="inlineStr"/>
      <c r="R7" s="12" t="inlineStr"/>
    </row>
    <row r="8" ht="60" customHeight="1">
      <c r="A8" s="10" t="inlineStr">
        <is>
          <t>S105-M7-AUDIT</t>
        </is>
      </c>
      <c r="B8" s="10" t="inlineStr">
        <is>
          <t>S105-M7</t>
        </is>
      </c>
      <c r="C8" s="10" t="inlineStr">
        <is>
          <t>Restricted-master integer heuristic comparator</t>
        </is>
      </c>
      <c r="D8" s="10" t="inlineStr">
        <is>
          <t>19</t>
        </is>
      </c>
      <c r="E8" s="10" t="inlineStr">
        <is>
          <t>18</t>
        </is>
      </c>
      <c r="F8" s="10" t="inlineStr">
        <is>
          <t>Section 5.5</t>
        </is>
      </c>
      <c r="G8" s="10" t="inlineStr">
        <is>
          <t>Apply a MIP solver to the columns generated during the root LP, without further column generation.</t>
        </is>
      </c>
      <c r="H8" s="10" t="inlineStr">
        <is>
          <t>E3 heuristic incumbent construction within the B&amp;P setting</t>
        </is>
      </c>
      <c r="I8" s="10" t="inlineStr">
        <is>
          <t>Solving the restricted integer master does not prove global optimality unless its incumbent matches a valid global lower bound.</t>
        </is>
      </c>
      <c r="J8" s="10" t="inlineStr">
        <is>
          <t>Section 6 variant list: PDF p22 / printed p21; Table 5: PDF p24 / printed p23; Tables 8 and 9 apply to seven variants because feasibility is not an issue in CSP and vertex coloring.</t>
        </is>
      </c>
      <c r="K8" s="10" t="inlineStr">
        <is>
          <t>90_过程归档/大修_v1.5/fulltext/Sadykov/PDFs/Primal_Heuristics_for_Branch_and_Price.pdf</t>
        </is>
      </c>
      <c r="L8" s="12" t="inlineStr"/>
      <c r="M8" s="12" t="inlineStr"/>
      <c r="N8" s="12" t="inlineStr"/>
      <c r="O8" s="12" t="str">
        <v>否</v>
      </c>
      <c r="P8" s="12" t="str">
        <v>D006 支持的范围：E2: root CG followed by a restricted-master MIP; no subsequent CG.
D006 PDF 19;22–24;28–30；§5.5;§6;Tables5,8,9</v>
      </c>
      <c r="Q8" s="12" t="str">
        <v>Codex（依据作者裁决）</v>
      </c>
      <c r="R8" s="12" t="str">
        <v>2026-10-15</v>
      </c>
    </row>
    <row r="9">
      <c r="A9" s="10" t="inlineStr">
        <is>
          <t>S105-M8-AUDIT</t>
        </is>
      </c>
      <c r="B9" s="10" t="inlineStr">
        <is>
          <t>S105-M8</t>
        </is>
      </c>
      <c r="C9" s="10" t="inlineStr">
        <is>
          <t>Diving followed by sub-MIPing</t>
        </is>
      </c>
      <c r="D9" s="10" t="inlineStr">
        <is>
          <t>19-20</t>
        </is>
      </c>
      <c r="E9" s="10" t="inlineStr">
        <is>
          <t>18-19</t>
        </is>
      </c>
      <c r="F9" s="10" t="inlineStr">
        <is>
          <t>Section 5.5</t>
        </is>
      </c>
      <c r="G9" s="10" t="inlineStr">
        <is>
          <t>Run feasibility diving first; then solve an integer master over the accumulated root and dive columns.</t>
        </is>
      </c>
      <c r="H9" s="10" t="inlineStr">
        <is>
          <t>E3 heuristic incumbent construction within the B&amp;P setting</t>
        </is>
      </c>
      <c r="I9" s="10" t="inlineStr">
        <is>
          <t>The expanded pool remains restricted; this is incumbent construction rather than exhaustive B&amp;P.</t>
        </is>
      </c>
      <c r="J9" s="10" t="inlineStr">
        <is>
          <t>Section 6 variant list: PDF p22 / printed p21; Table 5: PDF p24 / printed p23; Tables 8 and 9 apply to seven variants because feasibility is not an issue in CSP and vertex coloring.</t>
        </is>
      </c>
      <c r="K9" s="10" t="inlineStr">
        <is>
          <t>90_过程归档/大修_v1.5/fulltext/Sadykov/PDFs/Primal_Heuristics_for_Branch_and_Price.pdf</t>
        </is>
      </c>
      <c r="L9" s="12" t="inlineStr"/>
      <c r="M9" s="12" t="inlineStr"/>
      <c r="N9" s="12" t="inlineStr"/>
      <c r="O9" s="12" t="inlineStr"/>
      <c r="P9" s="12" t="inlineStr"/>
      <c r="Q9" s="12" t="inlineStr"/>
      <c r="R9" s="12" t="inlineStr"/>
    </row>
    <row r="10">
      <c r="A10" s="10" t="inlineStr">
        <is>
          <t>S105-C1</t>
        </is>
      </c>
      <c r="B10" s="10" t="inlineStr">
        <is>
          <t>S105-M1;S105-M2</t>
        </is>
      </c>
      <c r="C10" s="10" t="inlineStr"/>
      <c r="D10" s="10" t="inlineStr">
        <is>
          <t>23-24</t>
        </is>
      </c>
      <c r="E10" s="10" t="inlineStr">
        <is>
          <t>22-23</t>
        </is>
      </c>
      <c r="F10" s="10" t="inlineStr">
        <is>
          <t>Section 6.1; Table 5</t>
        </is>
      </c>
      <c r="G10" s="10" t="inlineStr">
        <is>
          <t>Type-D GAP: pure diving found feasible solutions in 70% of cases with mean time 0.80 s; feasibility diving found them in 100% with mean time 0.81 s. There were 20 type-D generated instances (two sizes, 10 per size). Time includes the initial master LP and the dive.</t>
        </is>
      </c>
      <c r="H10" s="10" t="inlineStr">
        <is>
          <t>Within-study feasibility/time contrast</t>
        </is>
      </c>
      <c r="I10" s="10" t="inlineStr">
        <is>
          <t>RelGap changes from 0.37% to 0.39%; the result is not a uniform quality improvement and does not measure complete-tree proof time.</t>
        </is>
      </c>
      <c r="J10" s="10" t="inlineStr"/>
      <c r="K10" s="10" t="inlineStr">
        <is>
          <t>90_过程归档/大修_v1.5/fulltext/Sadykov/PDFs/Primal_Heuristics_for_Branch_and_Price.pdf</t>
        </is>
      </c>
      <c r="L10" s="12" t="inlineStr"/>
      <c r="M10" s="12" t="inlineStr"/>
      <c r="N10" s="12" t="inlineStr"/>
      <c r="O10" s="12" t="inlineStr"/>
      <c r="P10" s="12" t="inlineStr"/>
      <c r="Q10" s="12" t="inlineStr"/>
      <c r="R10" s="12" t="inlineStr"/>
    </row>
    <row r="11">
      <c r="A11" s="10" t="inlineStr">
        <is>
          <t>S105-C2</t>
        </is>
      </c>
      <c r="B11" s="10" t="inlineStr">
        <is>
          <t>S105-M1;S105-M2;S105-M3;S105-M4;S105-M5;S105-M6;S105-M7;S105-M8</t>
        </is>
      </c>
      <c r="C11" s="10" t="inlineStr"/>
      <c r="D11" s="10" t="inlineStr">
        <is>
          <t>21-23</t>
        </is>
      </c>
      <c r="E11" s="10" t="inlineStr">
        <is>
          <t>20-22</t>
        </is>
      </c>
      <c r="F11" s="10" t="inlineStr">
        <is>
          <t>Section 6; Section 6.1</t>
        </is>
      </c>
      <c r="G11" s="10" t="inlineStr">
        <is>
          <t>The implementation uses stabilization and proper-column preprocessing. Experiments ran on a Dell PowerEdge 1950 with Xeon X5460 3.16 GHz and 32 GB RAM; CPLEX 12.4 solves the master LP. Default limit 10 minutes. GAP pricing uses scaled and rounded integer data and may be heuristic.</t>
        </is>
      </c>
      <c r="H11" s="10" t="inlineStr">
        <is>
          <t>Runtime and implementation conditions</t>
        </is>
      </c>
      <c r="I11" s="10" t="inlineStr">
        <is>
          <t>Do not infer exact pricing for every application. Do not omit the initial LP from heuristic timings.</t>
        </is>
      </c>
      <c r="J11" s="10" t="inlineStr"/>
      <c r="K11" s="10" t="inlineStr">
        <is>
          <t>90_过程归档/大修_v1.5/fulltext/Sadykov/PDFs/Primal_Heuristics_for_Branch_and_Price.pdf</t>
        </is>
      </c>
      <c r="L11" s="12" t="inlineStr"/>
      <c r="M11" s="12" t="inlineStr"/>
      <c r="N11" s="12" t="inlineStr"/>
      <c r="O11" s="12" t="inlineStr"/>
      <c r="P11" s="12" t="inlineStr"/>
      <c r="Q11" s="12" t="inlineStr"/>
      <c r="R11" s="12" t="inlineStr"/>
    </row>
    <row r="12">
      <c r="A12" s="10" t="inlineStr">
        <is>
          <t>S105-C3</t>
        </is>
      </c>
      <c r="B12" s="10" t="inlineStr">
        <is>
          <t>S105-M6</t>
        </is>
      </c>
      <c r="C12" s="10" t="inlineStr"/>
      <c r="D12" s="10" t="inlineStr">
        <is>
          <t>27-28</t>
        </is>
      </c>
      <c r="E12" s="10" t="inlineStr">
        <is>
          <t>26-27</t>
        </is>
      </c>
      <c r="F12" s="10" t="inlineStr">
        <is>
          <t>Section 6.2; Table 8</t>
        </is>
      </c>
      <c r="G12" s="10" t="inlineStr">
        <is>
          <t>CSP root-LP bounds can certify a matching incumbent in the reported subsets. Strong diving reached a zero gap in every Falkenauer case, with mean time 7.28 s.</t>
        </is>
      </c>
      <c r="H12" s="10" t="inlineStr">
        <is>
          <t>Optimality certificate in a particular subset</t>
        </is>
      </c>
      <c r="I12" s="10" t="inlineStr">
        <is>
          <t>Do not state that no S105 heuristic ever proves optimality. These root-bound matches still do not constitute a complete-tree speed comparison.</t>
        </is>
      </c>
      <c r="J12" s="10" t="inlineStr"/>
      <c r="K12" s="10" t="inlineStr">
        <is>
          <t>90_过程归档/大修_v1.5/fulltext/Sadykov/PDFs/Primal_Heuristics_for_Branch_and_Price.pdf</t>
        </is>
      </c>
      <c r="L12" s="12" t="inlineStr"/>
      <c r="M12" s="12" t="inlineStr"/>
      <c r="N12" s="12" t="inlineStr"/>
      <c r="O12" s="12" t="inlineStr"/>
      <c r="P12" s="12" t="inlineStr"/>
      <c r="Q12" s="12" t="inlineStr"/>
      <c r="R12" s="12" t="inlineStr"/>
    </row>
    <row r="13">
      <c r="A13" s="10" t="inlineStr">
        <is>
          <t>S105-C4</t>
        </is>
      </c>
      <c r="B13" s="10" t="inlineStr">
        <is>
          <t>S105-M5</t>
        </is>
      </c>
      <c r="C13" s="10" t="inlineStr"/>
      <c r="D13" s="10" t="inlineStr">
        <is>
          <t>25</t>
        </is>
      </c>
      <c r="E13" s="10" t="inlineStr">
        <is>
          <t>24</t>
        </is>
      </c>
      <c r="F13" s="10" t="inlineStr">
        <is>
          <t>Section 6.1; Table 6</t>
        </is>
      </c>
      <c r="G13" s="10" t="inlineStr">
        <is>
          <t>The external GAP comparison scales the other implementation's reported times by dividing them by 16 based on an approximate hardware comparison.</t>
        </is>
      </c>
      <c r="H13" s="10" t="inlineStr">
        <is>
          <t>External comparison qualification</t>
        </is>
      </c>
      <c r="I13" s="10" t="inlineStr">
        <is>
          <t>Not a matched-hardware controlled speedup.</t>
        </is>
      </c>
      <c r="J13" s="10" t="inlineStr"/>
      <c r="K13" s="10" t="inlineStr">
        <is>
          <t>90_过程归档/大修_v1.5/fulltext/Sadykov/PDFs/Primal_Heuristics_for_Branch_and_Price.pdf</t>
        </is>
      </c>
      <c r="L13" s="12" t="inlineStr"/>
      <c r="M13" s="12" t="inlineStr"/>
      <c r="N13" s="12" t="inlineStr"/>
      <c r="O13" s="12" t="inlineStr"/>
      <c r="P13" s="12" t="inlineStr"/>
      <c r="Q13" s="12" t="inlineStr"/>
      <c r="R13" s="12" t="inlineStr"/>
    </row>
    <row r="14">
      <c r="A14" s="10" t="inlineStr">
        <is>
          <t>S105-C5</t>
        </is>
      </c>
      <c r="B14" s="10" t="inlineStr">
        <is>
          <t>S105-M5</t>
        </is>
      </c>
      <c r="C14" s="10" t="inlineStr"/>
      <c r="D14" s="10" t="inlineStr">
        <is>
          <t>29-30</t>
        </is>
      </c>
      <c r="E14" s="10" t="inlineStr">
        <is>
          <t>28-29</t>
        </is>
      </c>
      <c r="F14" s="10" t="inlineStr">
        <is>
          <t>Section 6.3; Tables 9 and 10</t>
        </is>
      </c>
      <c r="G14" s="10" t="inlineStr">
        <is>
          <t>Internal vertex-coloring comparisons use 250 generated cases (125 random and 125 random regular). Larger literature cases use a heuristic pricing routine and a five-hour limit.</t>
        </is>
      </c>
      <c r="H14" s="10" t="inlineStr">
        <is>
          <t>Sample and pricing conditions</t>
        </is>
      </c>
      <c r="I14" s="10" t="inlineStr">
        <is>
          <t>The heuristic pricing in the large cases should not be conflated with the internal comparison or with an exhaustive proof algorithm.</t>
        </is>
      </c>
      <c r="J14" s="10" t="inlineStr"/>
      <c r="K14" s="10" t="inlineStr">
        <is>
          <t>90_过程归档/大修_v1.5/fulltext/Sadykov/PDFs/Primal_Heuristics_for_Branch_and_Price.pdf</t>
        </is>
      </c>
      <c r="L14" s="12" t="inlineStr"/>
      <c r="M14" s="12" t="inlineStr"/>
      <c r="N14" s="12" t="inlineStr"/>
      <c r="O14" s="12" t="inlineStr"/>
      <c r="P14" s="12" t="inlineStr"/>
      <c r="Q14" s="12" t="inlineStr"/>
      <c r="R14" s="12" t="inlineStr"/>
    </row>
  </sheetData>
  <autoFilter ref="A1:R14"/>
  <dataValidations count="5">
    <dataValidation sqref="L2:L14" showDropDown="0" showInputMessage="0" showErrorMessage="1" allowBlank="1" errorTitle="无效输入" error="请从下拉列表中选择" type="list">
      <formula1>"是,否"</formula1>
    </dataValidation>
    <dataValidation sqref="M2:M14" showDropDown="0" showInputMessage="0" showErrorMessage="1" allowBlank="1" errorTitle="无效输入" error="请从下拉列表中选择" type="list">
      <formula1>"是,否"</formula1>
    </dataValidation>
    <dataValidation sqref="N2:N14" showDropDown="0" showInputMessage="0" showErrorMessage="1" allowBlank="1" errorTitle="无效输入" error="请从下拉列表中选择" type="list">
      <formula1>"是,否"</formula1>
    </dataValidation>
    <dataValidation sqref="O2:O14" showDropDown="0" showInputMessage="0" showErrorMessage="1" allowBlank="1" errorTitle="无效输入" error="请从下拉列表中选择" type="list">
      <formula1>"是,否"</formula1>
    </dataValidation>
    <dataValidation sqref="R2:R14"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 customWidth="1" min="1" max="1"/>
    <col width="80" customWidth="1" min="2" max="2"/>
    <col width="60" customWidth="1" min="3" max="3"/>
  </cols>
  <sheetData>
    <row r="1">
      <c r="A1" s="16" t="inlineStr">
        <is>
          <t>层（L）：这个方法直接改变的是哪个决策</t>
        </is>
      </c>
    </row>
    <row r="2">
      <c r="A2" s="17" t="inlineStr">
        <is>
          <t>L1</t>
        </is>
      </c>
      <c r="B2" s="10" t="inlineStr">
        <is>
          <t>树控制：分支决策或待处理节点的选择</t>
        </is>
      </c>
      <c r="C2" s="10" t="inlineStr">
        <is>
          <t>Tree control: branching decisions or open-node selection</t>
        </is>
      </c>
    </row>
    <row r="3">
      <c r="A3" s="17" t="inlineStr">
        <is>
          <t>L2</t>
        </is>
      </c>
      <c r="B3" s="10" t="inlineStr">
        <is>
          <t>限制主问题与对偶：初始化、热启动、稳定化、预测对偶或限制</t>
        </is>
      </c>
      <c r="C3" s="10" t="inlineStr">
        <is>
          <t>Restricted master and duals: initialization, warm starts, stabilization, predicted duals or restrictions</t>
        </is>
      </c>
    </row>
    <row r="4">
      <c r="A4" s="17" t="inlineStr">
        <is>
          <t>L3</t>
        </is>
      </c>
      <c r="B4" s="10" t="inlineStr">
        <is>
          <t>定价编排：对不同子问题或定价程序进行调度或分配预算</t>
        </is>
      </c>
      <c r="C4" s="10" t="inlineStr">
        <is>
          <t>Pricing orchestration: scheduling or budgeting different subproblems or pricing routines</t>
        </is>
      </c>
    </row>
    <row r="5">
      <c r="A5" s="17" t="inlineStr">
        <is>
          <t>L4</t>
        </is>
      </c>
      <c r="B5" s="10" t="inlineStr">
        <is>
          <t>定价的域与状态：弧、状态、松弛、支配、界或安全消去</t>
        </is>
      </c>
      <c r="C5" s="10" t="inlineStr">
        <is>
          <t>Pricing domain and state: arcs, states, relaxation, dominance, bounds or safe elimination</t>
        </is>
      </c>
    </row>
    <row r="6">
      <c r="A6" s="17" t="inlineStr">
        <is>
          <t>L5</t>
        </is>
      </c>
      <c r="B6" s="10" t="inlineStr">
        <is>
          <t>单个定价问题内部的工作：标签顺序、搜索决策或新列的构造</t>
        </is>
      </c>
      <c r="C6" s="10" t="inlineStr">
        <is>
          <t>Work inside one pricing problem: label order, search decisions or construction of a new column</t>
        </is>
      </c>
    </row>
    <row r="7">
      <c r="A7" s="17" t="inlineStr">
        <is>
          <t>L6</t>
        </is>
      </c>
      <c r="B7" s="10" t="inlineStr">
        <is>
          <t>已生成的列：准入、选择、插入、列池、保留、删除或重用</t>
        </is>
      </c>
      <c r="C7" s="10" t="inlineStr">
        <is>
          <t>Already generated columns: admission, selection, insertion, pools, retention, deletion or reuse</t>
        </is>
      </c>
    </row>
    <row r="8">
      <c r="A8" s="17" t="inlineStr">
        <is>
          <t>区分</t>
        </is>
      </c>
      <c r="B8" s="10" t="inlineStr">
        <is>
          <t>L3 选择子问题块或求解程序；L4 限制其内部可行域；L5 对保留的状态重新排序或构造新列；L6 处理已存在或已显式枚举的列。构造新路径不同于在已有路径中选择；调度定价子问题不同于在单个子问题内对标签排序。只有当案例根本不属于 CG/B&amp;P 内部的干预时才用 NA。</t>
        </is>
      </c>
      <c r="C8" s="10" t="inlineStr">
        <is>
          <t>L3 chooses a block or oracle; L4 restricts its internal admissible domain; L5 reorders retained states or constructs a new column; L6 handles an existing or explicitly enumerated column. Use NA only if the case is not a within-CG/B&amp;P intervention at all.</t>
        </is>
      </c>
    </row>
    <row r="9">
      <c r="A9" s="16" t="inlineStr"/>
    </row>
    <row r="10">
      <c r="A10" s="16" t="inlineStr">
        <is>
          <t>保证机制（G）：先判断文档是否足以确定机制；不足填 GU</t>
        </is>
      </c>
    </row>
    <row r="11">
      <c r="A11" s="17" t="inlineStr">
        <is>
          <t>G1</t>
        </is>
      </c>
      <c r="B11" s="10" t="inlineStr">
        <is>
          <t>顺序、选择或初始化的改变，保留了相关的完整程序（证据：完整性、可接受的决策和终止条件不变）</t>
        </is>
      </c>
      <c r="C11" s="10" t="inlineStr">
        <is>
          <t>Order, choice or initialization change retaining the relevant complete procedure</t>
        </is>
      </c>
    </row>
    <row r="12">
      <c r="A12" s="17" t="inlineStr">
        <is>
          <t>G2</t>
        </is>
      </c>
      <c r="B12" s="10" t="inlineStr">
        <is>
          <t>带有书面恢复或认证的限制性或启发式阶段（证据：恢复的域、触发条件、精确回退和闭合条件）</t>
        </is>
      </c>
      <c r="C12" s="10" t="inlineStr">
        <is>
          <t>Restricted or heuristic phase with documented restoration or certification</t>
        </is>
      </c>
    </row>
    <row r="13">
      <c r="A13" s="17" t="inlineStr">
        <is>
          <t>G3</t>
        </is>
      </c>
      <c r="B13" s="10" t="inlineStr">
        <is>
          <t>消去、剪枝或固定的数学安全性（证据：有效界、支配假设、资源行为、可行性和现有解条件）</t>
        </is>
      </c>
      <c r="C13" s="10" t="inlineStr">
        <is>
          <t>Mathematical safety for elimination, pruning or fixing</t>
        </is>
      </c>
    </row>
    <row r="14">
      <c r="A14" s="17" t="inlineStr">
        <is>
          <t>G4</t>
        </is>
      </c>
      <c r="B14" s="10" t="inlineStr">
        <is>
          <t>在给定条件下提供合法界的松弛或稳定化（证据：目标松弛、域关系和有效认证）</t>
        </is>
      </c>
      <c r="C14" s="10" t="inlineStr">
        <is>
          <t>Relaxation or stabilization providing a legitimate bound under stated conditions</t>
        </is>
      </c>
    </row>
    <row r="15">
      <c r="A15" s="17" t="inlineStr">
        <is>
          <t>G5</t>
        </is>
      </c>
      <c r="B15" s="10" t="inlineStr">
        <is>
          <t>相关程序是启发式的，或其整体保证没有确立（证据：明确的实现边界；组件的保证不会自动传给整个求解器）</t>
        </is>
      </c>
      <c r="C15" s="10" t="inlineStr">
        <is>
          <t>Relevant procedure is heuristic or its overall guarantee is not established</t>
        </is>
      </c>
    </row>
    <row r="16">
      <c r="A16" s="17" t="inlineStr">
        <is>
          <t>GU</t>
        </is>
      </c>
      <c r="B16" s="10" t="inlineStr">
        <is>
          <t>所查阅的证据不足以确定机制（记录未解决之处；不确定不等于证明不精确）</t>
        </is>
      </c>
      <c r="C16" s="10" t="inlineStr">
        <is>
          <t>Accessed evidence does not settle the mechanism</t>
        </is>
      </c>
    </row>
    <row r="17">
      <c r="A17" s="17" t="inlineStr">
        <is>
          <t>GU-offline</t>
        </is>
      </c>
      <c r="B17" s="10" t="inlineStr">
        <is>
          <t>只做预测、没有集成保证目标的变体（没有可认证的已部署求解器组件）</t>
        </is>
      </c>
      <c r="C17" s="10" t="inlineStr">
        <is>
          <t>Prediction-only variant without an integrated guarantee target</t>
        </is>
      </c>
    </row>
    <row r="18">
      <c r="A18" s="17" t="inlineStr">
        <is>
          <t>判断规则</t>
        </is>
      </c>
      <c r="B18" s="10" t="inlineStr">
        <is>
          <t>由当前充分条件支持的安全消去 → G3；有依据的松弛或稳定化 → G4（针对它实际确立的界或收敛目标）；未经证明、依赖完整恢复来保证原目标的限制或启发式 → G2；完整的顺序改变 → G1；明确不完整的搜索，或没有认证就停止 → G5；缺少证据时记为 GU，而不是认定没有保证。有效恢复必须与当前对偶解、分支限制和活跃割相匹配；允许重新生成的删除通常是 G2；在已有列中选择不自动构成 G1 或完全枚举；找到一个改进列不证明没有其他改进列。</t>
        </is>
      </c>
      <c r="C18" s="10" t="inlineStr">
        <is>
          <t>Decision rules from recoding_pack/coding_definitions.md, Step 2.</t>
        </is>
      </c>
    </row>
    <row r="19">
      <c r="A19" s="16" t="inlineStr"/>
    </row>
    <row r="20">
      <c r="A20" s="16" t="inlineStr">
        <is>
          <t>证据范围（E）：记录所有实际测试过的范围，可多选；没有报告计算填 NONE</t>
        </is>
      </c>
    </row>
    <row r="21">
      <c r="A21" s="17" t="inlineStr">
        <is>
          <t>E0</t>
        </is>
      </c>
      <c r="B21" s="10" t="inlineStr">
        <is>
          <t>离线预测或标签质量</t>
        </is>
      </c>
      <c r="C21" s="10" t="inlineStr">
        <is>
          <t>Offline prediction or label quality</t>
        </is>
      </c>
    </row>
    <row r="22">
      <c r="A22" s="17" t="inlineStr">
        <is>
          <t>E1</t>
        </is>
      </c>
      <c r="B22" s="10" t="inlineStr">
        <is>
          <t>独立定价、单独的约束路径问题或固定的定价状态</t>
        </is>
      </c>
      <c r="C22" s="10" t="inlineStr">
        <is>
          <t>Independent pricing, a standalone constrained path problem or fixed pricing states</t>
        </is>
      </c>
    </row>
    <row r="23">
      <c r="A23" s="17" t="inlineStr">
        <is>
          <t>E2</t>
        </is>
      </c>
      <c r="B23" s="10" t="inlineStr">
        <is>
          <t>CG 迭代、根节点松弛，或不含完整 B&amp;P 树的基于 CG 的整数求解</t>
        </is>
      </c>
      <c r="C23" s="10" t="inlineStr">
        <is>
          <t>CG iterations, root relaxation or CG-based integer completion without a complete B&amp;P tree</t>
        </is>
      </c>
    </row>
    <row r="24">
      <c r="A24" s="17" t="inlineStr">
        <is>
          <t>E3</t>
        </is>
      </c>
      <c r="B24" s="10" t="inlineStr">
        <is>
          <t>非根节点或树的组件</t>
        </is>
      </c>
      <c r="C24" s="10" t="inlineStr">
        <is>
          <t>Nonroot nodes or a tree component</t>
        </is>
      </c>
    </row>
    <row r="25">
      <c r="A25" s="17" t="inlineStr">
        <is>
          <t>E4</t>
        </is>
      </c>
      <c r="B25" s="10" t="inlineStr">
        <is>
          <t>完整的 B&amp;P 或 BPC 计算</t>
        </is>
      </c>
      <c r="C25" s="10" t="inlineStr">
        <is>
          <t>Complete B&amp;P or BPC computation</t>
        </is>
      </c>
    </row>
    <row r="26">
      <c r="A26" s="17" t="inlineStr">
        <is>
          <t>判断规则</t>
        </is>
      </c>
      <c r="B26" s="10" t="inlineStr">
        <is>
          <t>有时间限制的完整实现即使没跑完也可以是 E4；有意不完整的潜水（dive）是 E3；根节点 CG 后求解整数限制主问题是 E2，除非评估了非根节点 CG；完全枚举路径后用普通 MIP 求解不构成 E4；单个定价问题内部的精确分支定界是 E1，不是 E4；为启发式基准求已知最优值而用的独立精确求解器，不会提升该启发式的范围。</t>
        </is>
      </c>
      <c r="C26" s="10" t="inlineStr">
        <is>
          <t>Decision rules from recoding_pack/coding_definitions.md, Step 3.</t>
        </is>
      </c>
    </row>
    <row r="27">
      <c r="A27" s="16" t="inlineStr"/>
    </row>
    <row r="28">
      <c r="A28" s="16" t="inlineStr">
        <is>
          <t>文档状态（不用单独填写）</t>
        </is>
      </c>
    </row>
    <row r="29">
      <c r="A29" s="17" t="inlineStr"/>
      <c r="B29" s="10" t="inlineStr">
        <is>
          <t>主机制为 G1–G5 → MECHANISM_ASSIGNED；GU → UNASSIGNED；GU-offline → UNASSIGNED_OFFLINE_ONLY。我会根据你填的主机制自动生成。</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8" customWidth="1" min="3" max="3"/>
    <col width="22" customWidth="1" min="4" max="4"/>
    <col width="26" customWidth="1" min="5" max="5"/>
    <col width="60" customWidth="1" min="6" max="6"/>
    <col width="26" customWidth="1" min="7" max="7"/>
    <col width="60" customWidth="1" min="8" max="8"/>
    <col width="36" customWidth="1" min="9" max="9"/>
    <col width="40" customWidth="1" min="10" max="10"/>
    <col width="18" customWidth="1" min="11" max="11"/>
    <col width="9" customWidth="1" min="12" max="12"/>
    <col width="10" customWidth="1" min="13" max="13"/>
    <col width="85" customWidth="1" min="14" max="14"/>
    <col width="100" customWidth="1" min="15" max="15"/>
    <col width="9" customWidth="1" min="16" max="16"/>
    <col width="11" customWidth="1" min="17" max="17"/>
  </cols>
  <sheetData>
    <row r="1" ht="42" customHeight="1">
      <c r="A1" s="7" t="inlineStr">
        <is>
          <t>优先级</t>
        </is>
      </c>
      <c r="B1" s="7" t="inlineStr">
        <is>
          <t>编号</t>
        </is>
      </c>
      <c r="C1" s="7" t="inlineStr">
        <is>
          <t>类型</t>
        </is>
      </c>
      <c r="D1" s="7" t="inlineStr">
        <is>
          <t>稿件位置</t>
        </is>
      </c>
      <c r="E1" s="7" t="inlineStr">
        <is>
          <t>定位短语（在 Word 中 Ctrl+F 搜索）</t>
        </is>
      </c>
      <c r="F1" s="7" t="inlineStr">
        <is>
          <t>稿件原文（英文，自动摘录）</t>
        </is>
      </c>
      <c r="G1" s="7" t="inlineStr">
        <is>
          <t>涉及研究</t>
        </is>
      </c>
      <c r="H1" s="7" t="inlineStr">
        <is>
          <t>需要核对的内容</t>
        </is>
      </c>
      <c r="I1" s="7" t="inlineStr">
        <is>
          <t>本地原文（项目文件夹内）</t>
        </is>
      </c>
      <c r="J1" s="7" t="inlineStr">
        <is>
          <t>已有证据定位（数据包，AI 整理）</t>
        </is>
      </c>
      <c r="K1" s="7" t="inlineStr">
        <is>
          <t>对应其他表</t>
        </is>
      </c>
      <c r="L1" s="8" t="inlineStr">
        <is>
          <t>已打开原文核对 ✎</t>
        </is>
      </c>
      <c r="M1" s="8" t="inlineStr">
        <is>
          <t>核对结论 ✎</t>
        </is>
      </c>
      <c r="N1" s="8" t="inlineStr">
        <is>
          <t>原文依据（页码和要点）✎</t>
        </is>
      </c>
      <c r="O1" s="8" t="inlineStr">
        <is>
          <t>建议改法（需修改时必填）✎</t>
        </is>
      </c>
      <c r="P1" s="8" t="inlineStr">
        <is>
          <t>核对人 ✎</t>
        </is>
      </c>
      <c r="Q1" s="8" t="inlineStr">
        <is>
          <t>日期 ✎</t>
        </is>
      </c>
    </row>
    <row r="2" ht="270" customHeight="1">
      <c r="A2" s="15" t="inlineStr">
        <is>
          <t>已在其他表核对</t>
        </is>
      </c>
      <c r="B2" s="15" t="inlineStr">
        <is>
          <t>TX001</t>
        </is>
      </c>
      <c r="C2" s="15" t="inlineStr">
        <is>
          <t>事实</t>
        </is>
      </c>
      <c r="D2" s="15" t="inlineStr">
        <is>
          <t>Abstract 第1段 第6–7句</t>
        </is>
      </c>
      <c r="E2" s="15" t="inlineStr">
        <is>
          <t>Within-study comparisons support conditional gains from dual</t>
        </is>
      </c>
      <c r="F2" s="15" t="inlineStr">
        <is>
          <t>[Abstract 第1段 第6–7句] Within-study comparisons support conditional gains from dual initialization for related repeated solves, matched-budget column selection and, each in one study, learned screening of branching candidates and recoverable pricing cutoffs. They also show that a classical reduced-cost filter can outperform learned-only graph restriction, that a distribution shift can reverse a stabilization gain, and that fewer pricing calls need not reduce elapsed time.</t>
        </is>
      </c>
      <c r="G2" s="15" t="inlineStr">
        <is>
          <t>S062 You et al., 2026b；S048 Václavík et al., 2018；S056 Kraul et al., 2023；S079 Sugishita et al., 2024；S057 Yuan et al., 2024；S059 Hu et al., 2025；S055 Morabit et al., 2023；S058 Koutecká et al., 2025</t>
        </is>
      </c>
      <c r="H2" s="15" t="inlineStr">
        <is>
          <t>摘要中的两句结论分别对应 Table 4：学习筛选分支候选（第1行 You 2026b）、可恢复的定价截断（第2行 Václavík）、相关重复求解的对偶初始化与分布变化使稳定化收益反转（第3–4行 Kraul、Sugishita）、匹配预算的列选择（第8–9行 Yuan、Hu）、经典约化成本过滤胜过纯学习限制（第5行 Morabit）、定价调用减少不一定减少时间（第6行 Koutecká）。核对完 3_Table4核对 后，确认摘要措辞没有超出这些行的结论。</t>
        </is>
      </c>
      <c r="I2" s="15" t="inlineStr">
        <is>
          <t>You et al., 2026b：02_参考文献/论文全文/S062_You_2026.pdf
Václavík et al., 2018：02_参考文献/论文全文/S048_Vaclavik_2018.pdf
Kraul et al., 2023：02_参考文献/论文全文/S056_Kraul_2023.pdf
Sugishita et al., 2024：02_参考文献/论文全文/S079_Sugishita_2024.pdf
Yuan et al., 2024：02_参考文献/论文全文/S057_Yuan_2024.pdf
Hu et al., 2025：02_参考文献/论文全文/S059_Hu_2025.pdf
Morabit et al., 2023：02_参考文献/论文全文/S055_Morabit_2023.pdf
Koutecká et al., 2025：02_参考文献/论文全文/S058_Koutecka_2025.pdf</t>
        </is>
      </c>
      <c r="J2" s="15" t="inlineStr">
        <is>
          <t>见 3_Table4核对</t>
        </is>
      </c>
      <c r="K2" s="15" t="inlineStr">
        <is>
          <t>3_Table4核对</t>
        </is>
      </c>
      <c r="L2" s="15" t="inlineStr"/>
      <c r="M2" s="15" t="str">
        <v>需修改</v>
      </c>
      <c r="N2" s="15" t="str">
        <v>D037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D037 PDF 正式版3–7；扩展版9、11；§4 Algorithms1–2；§5 Tables1–3；附录B/F.2</v>
      </c>
      <c r="O2" s="15" t="str">
        <v>已落实于 v1.8 稿件。
Column generation (CG) and branch-and-price (B&amp;P) can be accelerated by classical mechanisms, such as stabilization, dominance and column management, and increasingly by machine learning. Whether an acceleration helps depends on the decision it changes, the argument that protects the result and the endpoint measured. This critical review codes each method variant by intervention layer, from tree control to generated-column management, by guarantee mechanism and by empirical scope, from offline prediction to complete trees. A bounded sample of 80 core and 8 supporting study families yields 146 variants, 72 traditional and 74 learning-guided. A two-customer routing example shows why column discovery may be heuristic, whereas valid bounds and closure require full-domain information. Within-study comparisons support conditional gains from dual initialization for related repeated solves, matched five-column admission and, each in one study, learned screening of branching candidates and recoverable pricing cutoffs. They also show that a classical reduced-cost filter can outperform learned-only graph restriction, that a distribution shift can reverse a stabilization gain, and that fewer pricing calls need not reduce elapsed time. Learning-guided variants are evaluated mainly offline or at the root: 18 of their 123 scope memberships in the current coding snapshot involve partial or complete trees, against 53 of 116 for traditional variants, and only 24 core families report complete-tree evaluation. A practitioner protocol specifies the comparators and the timing, completion and recovery information that comparisons need. Research priorities are adaptive allocation of certification effort, joint design of restriction and recovery, and reusable pricing-state benchmarks linked to complete solver runs.</v>
      </c>
      <c r="P2" s="15" t="str">
        <v>Codex（依据作者裁决）</v>
      </c>
      <c r="Q2" s="15" t="str">
        <v>2026-10-15</v>
      </c>
    </row>
    <row r="3">
      <c r="A3" s="15" t="inlineStr">
        <is>
          <t>自动重算</t>
        </is>
      </c>
      <c r="B3" s="15" t="inlineStr">
        <is>
          <t>TX002</t>
        </is>
      </c>
      <c r="C3" s="15" t="inlineStr">
        <is>
          <t>派生</t>
        </is>
      </c>
      <c r="D3" s="15" t="inlineStr">
        <is>
          <t>Abstract 第1段 第4句；Abstract 第1段 第8句；§7.1 第2段；§9 第3段 第2–3句</t>
        </is>
      </c>
      <c r="E3" s="15" t="inlineStr">
        <is>
          <t>A bounded sample of 80 core and</t>
        </is>
      </c>
      <c r="F3" s="15" t="inlineStr">
        <is>
          <t>[Abstract 第1段 第4句] A bounded sample of 80 core and 8 supporting study families yields 146 variants, 72 traditional and 74 learning-guided.
[Abstract 第1段 第8句] Learning-guided variants are evaluated mainly offline or at the root: only 18 of their 125 scope memberships involve partial or complete trees, against 58 of 120 for traditional variants, and only 24 core families report complete-tree evaluation.
[§7.1 第2段] Figure 3 maps the 146 core or supporting variants, 72 traditional and 74 learning-guided, by primary mechanism and reported scope. Each variant is counted once in the right margin, whereas the cells count scope memberships (245 in total) because a variant can be tested at several scopes; one variant has no measured scope. The two panels differ in where the evidence sits. Learning-guided variants contribute 102 of their 125 memberships at E0 or E2 and only 18 at E3 or E4, whereas traditional variants supply 27 of the 33 E3 and 31 of the 43 E4 memberships. No learning-guided variant relies primarily on safe elimination (G3); 22 rely on recovery (G2) and 29 explicitly forgo a complete guarantee (G5). Traditional variants are spread across G1–G5, with valid relaxation or stabilization (G4) the most frequent. The four unassigned (GU) variants are shown separately. Single-coder labels and uneven coverage make these counts a description of the sample, not an inferential comparison of categories.
[§9 第3段 第2–3句] Appendix A identifies all 80 core and 8 supporting families and their 146 variants. Only 24 core families include a complete-tree evaluation; 23 report at least one completed solve under their stated stopping criteria, some with a supplied upper bound.</t>
        </is>
      </c>
      <c r="G3" s="15" t="inlineStr"/>
      <c r="H3" s="15" t="inlineStr">
        <is>
          <t>摘要、Figure 3 段落和结论中的计数：80 核心 + 8 支撑研究族、146 个变体（72 传统 + 74 学习引导）；245 个“变体–证据范围”归属；学习引导 125 个归属中 102 个在 E0 或 E2、18 个在 E3 或 E4；传统 120 个归属中 58 个在 E3 或 E4；33 个 E3 归属中 27 个、43 个 E4 归属中 31 个来自传统变体；学习引导变体 G3 = 0、G2 = 22、G5 = 29；GU 共 4 个；24 个核心研究族有完整树评估。这些数字由编码数据自动计算。你在表 1/表 2 改了编码后由我重算；你只需在通读终稿时确认各处数字前后一致。</t>
        </is>
      </c>
      <c r="I3" s="15" t="inlineStr">
        <is>
          <t>不需要原文（本文自己的推导、计数或你本人的陈述）</t>
        </is>
      </c>
      <c r="J3" s="15" t="inlineStr">
        <is>
          <t>不适用</t>
        </is>
      </c>
      <c r="K3" s="15" t="inlineStr"/>
      <c r="L3" s="15" t="inlineStr"/>
      <c r="M3" s="15" t="inlineStr"/>
      <c r="N3" s="15" t="inlineStr"/>
      <c r="O3" s="15" t="inlineStr"/>
      <c r="P3" s="15" t="inlineStr"/>
      <c r="Q3" s="15" t="inlineStr"/>
    </row>
    <row r="4">
      <c r="A4" s="15" t="inlineStr">
        <is>
          <t>已在其他表核对</t>
        </is>
      </c>
      <c r="B4" s="15" t="inlineStr">
        <is>
          <t>TX003</t>
        </is>
      </c>
      <c r="C4" s="15" t="inlineStr">
        <is>
          <t>数值</t>
        </is>
      </c>
      <c r="D4" s="15" t="inlineStr">
        <is>
          <t>§1 第1段 第2句</t>
        </is>
      </c>
      <c r="E4" s="15" t="inlineStr">
        <is>
          <t>In peer-reviewed cutting-stock experiments, learned sparse dual</t>
        </is>
      </c>
      <c r="F4" s="15" t="inlineStr">
        <is>
          <t>[§1 第1段 第2句] In peer-reviewed cutting-stock experiments, learned sparse dual predictions used as stability centers of the penalty stabilization of du Merle et al. (1999) reduced mean time from 5.62 to 3.08 s against classical center updates across 500 synthetic cases, yet took 128.51 s against 99.48 s across 6195 BPPLIB cases (Kraul et al., 2023).</t>
        </is>
      </c>
      <c r="G4" s="15" t="inlineStr">
        <is>
          <t>S056 Kraul et al., 2023；S023 du Merle et al., 1999</t>
        </is>
      </c>
      <c r="H4" s="15" t="inlineStr">
        <is>
          <t>与 Table 4 第3行（Kraul 2023）是同一组数字：500 个合成算例，平均时间 5.62 s（经典中心更新）→ 3.08 s（学习的稀疏对偶预测作为稳定中心）；6195 个 BPPLIB 算例，128.51 s（学习）vs 99.48 s（经典），学习方法更慢。在 3_Table4核对 第3行核对数值后，确认这里的数字、方向（谁快谁慢）一致；另确认 Kraul 使用的惩罚稳定化确实出自 du Merle et al. (1999)。</t>
        </is>
      </c>
      <c r="I4" s="15" t="inlineStr">
        <is>
          <t>Kraul et al., 2023：02_参考文献/论文全文/S056_Kraul_2023.pdf
du Merle et al., 1999：02_参考文献/论文全文/S023_Merle_1999.pdf</t>
        </is>
      </c>
      <c r="J4" s="15" t="inlineStr">
        <is>
          <t>E-A-S056-04：PDF p16 Table7; p17 Table8（数字匹配）
E-A-S056-05：PDF p17 §4.3.2 Table9; p18 Table10（数字匹配）</t>
        </is>
      </c>
      <c r="K4" s="15" t="inlineStr">
        <is>
          <t>3_Table4核对 第3行</t>
        </is>
      </c>
      <c r="L4" s="15" t="inlineStr"/>
      <c r="M4" s="15" t="inlineStr"/>
      <c r="N4" s="15" t="inlineStr"/>
      <c r="O4" s="15" t="inlineStr"/>
      <c r="P4" s="15" t="inlineStr"/>
      <c r="Q4" s="15" t="inlineStr"/>
    </row>
    <row r="5">
      <c r="A5" s="15" t="inlineStr">
        <is>
          <t>已在其他表核对</t>
        </is>
      </c>
      <c r="B5" s="15" t="inlineStr">
        <is>
          <t>TX004</t>
        </is>
      </c>
      <c r="C5" s="15" t="inlineStr">
        <is>
          <t>数值</t>
        </is>
      </c>
      <c r="D5" s="15" t="inlineStr">
        <is>
          <t>§1 第1段 第3句；§5.4 第11段 第2–6句；§7.2 第4段 第3句</t>
        </is>
      </c>
      <c r="E5" s="15" t="inlineStr">
        <is>
          <t>In routing, a classical reduced-cost filter was</t>
        </is>
      </c>
      <c r="F5" s="15" t="inlineStr">
        <is>
          <t>[§1 第1段 第3句] In routing, a classical reduced-cost filter was faster than learned-only filtering in the reported groups, although combining the two helped some groups (Morabit et al., 2023).
[§5.4 第11段 第2–6句] In the VRPTW experiments of Morabit and colleagues, classical reduced-cost restriction outperforms the learned restriction across the reported instance groups (Morabit et al., 2023). For example, reported group mean times are 32 versus 65 s on 200-customer R2 instances and 254 versus 560 s on 400-customer C2 instances. These are root experiments for a two-cycle pricing relaxation, not exact elementary VRPTW or complete-tree tests. Combining filters and retraining helps some groups but still worsens the large clustered group. This comparison is more informative about the incremental value of learning than a comparison with the full unfiltered graph alone.
[§7.2 第4段 第3句] For route-graph filtering, classical reduced-cost restriction wins over learned-only restriction in the reported routing groups, while combined filters are mixed (Morabit et al., 2023).</t>
        </is>
      </c>
      <c r="G5" s="15" t="inlineStr">
        <is>
          <t>S055 Morabit et al., 2023</t>
        </is>
      </c>
      <c r="H5" s="15" t="inlineStr">
        <is>
          <t>与 Table 4 第5行（Morabit 2023）一致：200 客户 R2 组 32 s（经典 RedCost-S）vs 65 s（学习 ML-S）；400 客户 C2 组 254 s vs 560 s；每组 n = 5，是“组均值”。另需确认：这些是两圈（two-cycle）定价松弛下的根节点实验，不是精确初等 VRPTW 或完整树；“组合过滤并重新训练对部分组有帮助，但大规模聚类组仍变差”在原文 Table 7–8 中有依据。</t>
        </is>
      </c>
      <c r="I5" s="15" t="inlineStr">
        <is>
          <t>Morabit et al., 2023：02_参考文献/论文全文/S055_Morabit_2023.pdf</t>
        </is>
      </c>
      <c r="J5" s="15" t="inlineStr">
        <is>
          <t>E-A-S055-05：PDF p14 §5;p16 §5.3;pp17–18 §5.4.2 Table7（数字匹配）
E-A-S055-06：PDF pp19–20 §5.4.2 Table8（数字匹配）
E-A-S055-03：PDF pp12–13 §4.4.2 Table3（数字匹配）
E-A-S055-04：PDF pp14–15 §4.4.3 Table4（数字匹配）</t>
        </is>
      </c>
      <c r="K5" s="15" t="inlineStr">
        <is>
          <t>3_Table4核对 第5行</t>
        </is>
      </c>
      <c r="L5" s="15" t="inlineStr"/>
      <c r="M5" s="15" t="inlineStr"/>
      <c r="N5" s="15" t="inlineStr"/>
      <c r="O5" s="15" t="inlineStr"/>
      <c r="P5" s="15" t="inlineStr"/>
      <c r="Q5" s="15" t="inlineStr"/>
    </row>
    <row r="6">
      <c r="A6" s="13" t="inlineStr">
        <is>
          <t>建议核</t>
        </is>
      </c>
      <c r="B6" s="10" t="inlineStr">
        <is>
          <t>TX005</t>
        </is>
      </c>
      <c r="C6" s="10" t="inlineStr">
        <is>
          <t>背景</t>
        </is>
      </c>
      <c r="D6" s="10" t="inlineStr">
        <is>
          <t>§1 第2段 第4句</t>
        </is>
      </c>
      <c r="E6" s="10" t="inlineStr">
        <is>
          <t>Routes, duties, cutting patterns, schedules and independent</t>
        </is>
      </c>
      <c r="F6" s="10" t="inlineStr">
        <is>
          <t>[§1 第2段 第4句] Routes, duties, cutting patterns, schedules and independent sets all fit this architecture (Barnhart et al., 1998; Lübbecke and Desrosiers, 2005; Petris et al., 2025).</t>
        </is>
      </c>
      <c r="G6" s="10" t="inlineStr">
        <is>
          <t>S035 Barnhart et al., 1998；S001 Lübbecke and Desrosiers, 2005；S002 Petris et al., 2025</t>
        </is>
      </c>
      <c r="H6" s="10" t="inlineStr">
        <is>
          <t>确认三篇背景文献可支持“路线、班次、切割模式、排程和独立集都适合列生成（CG）框架”。只需确认引用恰当。</t>
        </is>
      </c>
      <c r="I6" s="10" t="inlineStr">
        <is>
          <t>Barnhart et al., 1998：02_参考文献/论文全文/ 中以 S035_ 开头的文件
Lübbecke and Desrosiers, 2005：02_参考文献/论文全文/ 中以 S001_ 开头的文件
Petris et al., 2025：02_参考文献/论文全文/ 中以 S002_ 开头的文件</t>
        </is>
      </c>
      <c r="J6" s="10" t="inlineStr">
        <is>
          <t>未自动匹配到对应记录；数据包中有 S001 5 条、S002 5 条、S035 5 条证据记录（data/release_1_2/evidence.csv，按 study_id 筛选）</t>
        </is>
      </c>
      <c r="K6" s="10" t="inlineStr"/>
      <c r="L6" s="12" t="inlineStr"/>
      <c r="M6" s="12" t="inlineStr"/>
      <c r="N6" s="12" t="inlineStr"/>
      <c r="O6" s="12" t="inlineStr"/>
      <c r="P6" s="12" t="inlineStr"/>
      <c r="Q6" s="12" t="inlineStr"/>
    </row>
    <row r="7">
      <c r="A7" s="13" t="inlineStr">
        <is>
          <t>建议核</t>
        </is>
      </c>
      <c r="B7" s="10" t="inlineStr">
        <is>
          <t>TX006</t>
        </is>
      </c>
      <c r="C7" s="10" t="inlineStr">
        <is>
          <t>背景</t>
        </is>
      </c>
      <c r="D7" s="10" t="inlineStr">
        <is>
          <t>§1 第5段 第4句</t>
        </is>
      </c>
      <c r="E7" s="10" t="inlineStr">
        <is>
          <t>Its incremental value depends on the classical</t>
        </is>
      </c>
      <c r="F7" s="10" t="inlineStr">
        <is>
          <t>[§1 第5段 第4句] Its incremental value depends on the classical alternative it improves and on the cost of the checks or recovery that follow (Baldacci et al., 2011; Pessoa et al., 2018; Pessoa et al., 2020; Sadykov et al., 2021).</t>
        </is>
      </c>
      <c r="G7" s="10" t="inlineStr">
        <is>
          <t>S027 Baldacci et al., 2011；S018 Pessoa et al., 2018；S039 Pessoa et al., 2020；S019 Sadykov et al., 2021</t>
        </is>
      </c>
      <c r="H7" s="10" t="inlineStr">
        <is>
          <t>确认这四篇经典文献可支持“加速方法的增量价值取决于它所改进的经典替代方法，以及后续检查或恢复的成本”这一概括。</t>
        </is>
      </c>
      <c r="I7" s="10" t="inlineStr">
        <is>
          <t>Baldacci et al., 2011：02_参考文献/论文全文/S027_Baldacci_2011.pdf
Pessoa et al., 2018：02_参考文献/论文全文/S018_Pessoa_2018.pdf
Pessoa et al., 2020：02_参考文献/论文全文/S039_Pessoa_2020.pdf
Sadykov et al., 2021：02_参考文献/论文全文/S019_Sadykov_2021.pdf</t>
        </is>
      </c>
      <c r="J7" s="10" t="inlineStr">
        <is>
          <t>未自动匹配到对应记录；数据包中有 S018 8 条、S019 8 条、S027 7 条、S039 8 条证据记录（data/release_1_2/evidence.csv，按 study_id 筛选）</t>
        </is>
      </c>
      <c r="K7" s="10" t="inlineStr"/>
      <c r="L7" s="12" t="inlineStr"/>
      <c r="M7" s="12" t="inlineStr"/>
      <c r="N7" s="12" t="inlineStr"/>
      <c r="O7" s="12" t="inlineStr"/>
      <c r="P7" s="12" t="inlineStr"/>
      <c r="Q7" s="12" t="inlineStr"/>
    </row>
    <row r="8">
      <c r="A8" s="9" t="inlineStr">
        <is>
          <t>必核</t>
        </is>
      </c>
      <c r="B8" s="10" t="inlineStr">
        <is>
          <t>TX007</t>
        </is>
      </c>
      <c r="C8" s="10" t="inlineStr">
        <is>
          <t>事实</t>
        </is>
      </c>
      <c r="D8" s="10" t="inlineStr">
        <is>
          <t>§1 第11段 第2句</t>
        </is>
      </c>
      <c r="E8" s="10" t="inlineStr">
        <is>
          <t>They explain duality, stabilization, pricing and integer</t>
        </is>
      </c>
      <c r="F8" s="10" t="inlineStr">
        <is>
          <t>[§1 第11段 第2句] They explain duality, stabilization, pricing and integer completion, and recent learning surveys already distinguish column selection from column construction and discuss generalization and computational overhead (Costa et al., 2019; Fan et al., 2026; Lübbecke and Desrosiers, 2005; Petris et al., 2025; Wilhelm, 2001; Zhou et al., 2025).</t>
        </is>
      </c>
      <c r="G8" s="10" t="inlineStr">
        <is>
          <t>S003 Costa et al., 2019；S005 Fan et al., 2026；S001 Lübbecke and Desrosiers, 2005；S002 Petris et al., 2025；S014 Wilhelm, 2001；S004 Zhou et al., 2025</t>
        </is>
      </c>
      <c r="H8" s="10" t="inlineStr">
        <is>
          <t>核对既有综述的覆盖范围：对偶、稳定化、定价和整数求解（Lübbecke &amp; Desrosiers 2005；Wilhelm 2001；Petris 2025；Costa 2019）；近期学习类综述已区分“列选择”与“列构造”，并讨论泛化和计算开销（Zhou 2025；Fan 2026）。审稿人最容易质疑这一句，请确认每篇确实覆盖了所写内容。</t>
        </is>
      </c>
      <c r="I8" s="10" t="inlineStr">
        <is>
          <t>Costa et al., 2019：02_参考文献/论文全文/ 中以 S003_ 开头的文件
Fan et al., 2026：02_参考文献/论文全文/ 中以 S005_ 开头的文件
Lübbecke and Desrosiers, 2005：02_参考文献/论文全文/ 中以 S001_ 开头的文件
Petris et al., 2025：02_参考文献/论文全文/ 中以 S002_ 开头的文件
Wilhelm, 2001：02_参考文献/论文全文/ 中以 S014_ 开头的文件
Zhou et al., 2025：02_参考文献/论文全文/ 中以 S004_ 开头的文件</t>
        </is>
      </c>
      <c r="J8" s="10" t="inlineStr">
        <is>
          <t>E-B-S005-02：PDF pp15–17, §6.3, Figure 8 and Eq. (16)（关键词匹配，仅供参考）
E-R-S001-03：PDF pp12–17, Sections4–5.2（关键词匹配，仅供参考）</t>
        </is>
      </c>
      <c r="K8" s="10" t="inlineStr"/>
      <c r="L8" s="12" t="inlineStr"/>
      <c r="M8" s="12" t="inlineStr"/>
      <c r="N8" s="12" t="inlineStr"/>
      <c r="O8" s="12" t="inlineStr"/>
      <c r="P8" s="12" t="inlineStr"/>
      <c r="Q8" s="12" t="inlineStr"/>
    </row>
    <row r="9" ht="127" customHeight="1">
      <c r="A9" s="9" t="inlineStr">
        <is>
          <t>必核</t>
        </is>
      </c>
      <c r="B9" s="10" t="inlineStr">
        <is>
          <t>TX008</t>
        </is>
      </c>
      <c r="C9" s="10" t="inlineStr">
        <is>
          <t>事实</t>
        </is>
      </c>
      <c r="D9" s="10" t="inlineStr">
        <is>
          <t>§1 第12段 第2–5句</t>
        </is>
      </c>
      <c r="E9" s="10" t="inlineStr">
        <is>
          <t>Matching the candidate budget reveals a smaller</t>
        </is>
      </c>
      <c r="F9" s="10" t="inlineStr">
        <is>
          <t>[§1 第12段 第2–5句] Matching the candidate budget reveals a smaller L6 learning contribution than comparison with single-column admission. Separating direct and recovered dual restrictions reveals that their runtimes concern different bound targets. Comparing completion with conditional runtime distinguishes fewer pricing calls from faster reliable solves. These conclusions require variant-specific mathematical and computational records, beyond an inventory of learning architectures (Fan et al., 2026; Hu et al., 2025; You et al., 2026a; Yuan et al., 2024; Zhou et al., 2025).</t>
        </is>
      </c>
      <c r="G9" s="10" t="inlineStr">
        <is>
          <t>S057 Yuan et al., 2024；S066 You et al., 2026a；S005 Fan et al., 2026；S004 Zhou et al., 2025；S059 Hu et al., 2025</t>
        </is>
      </c>
      <c r="H9" s="10" t="inlineStr">
        <is>
          <t>Table 1 前的总结：①匹配候选预算后，L6 的学习贡献比“与单列准入比较”时更小（Yuan 2024；Hu 2025）；②直接的与恢复的对偶限制针对不同的界（You 2026a）；③完成率与条件运行时间要区分。数值已在 3_Table4核对 和本表其他行核对；这里确认结论在相应研究中有依据，并确认 Fan 2026、Zhou 2025 两篇综述没有已经给出这些逐变体结论。</t>
        </is>
      </c>
      <c r="I9" s="10" t="inlineStr">
        <is>
          <t>Yuan et al., 2024：02_参考文献/论文全文/S057_Yuan_2024.pdf
You et al., 2026a：02_参考文献/论文全文/S066_You_2026.pdf
Fan et al., 2026：02_参考文献/论文全文/ 中以 S005_ 开头的文件
Zhou et al., 2025：02_参考文献/论文全文/ 中以 S004_ 开头的文件
Hu et al., 2025：02_参考文献/论文全文/S059_Hu_2025.pdf</t>
        </is>
      </c>
      <c r="J9" s="10" t="inlineStr">
        <is>
          <t>未自动匹配到对应记录；数据包中有 S004 4 条、S005 5 条、S057 4 条、S059 4 条、S066 7 条证据记录（data/release_1_2/evidence.csv，按 study_id 筛选）</t>
        </is>
      </c>
      <c r="K9" s="10" t="inlineStr"/>
      <c r="L9" s="12" t="inlineStr"/>
      <c r="M9" s="12" t="str">
        <v>需修改</v>
      </c>
      <c r="N9" s="12" t="str">
        <v>D038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D038 PDF 正式版3–7；扩展版9、11；§4 Algorithms1–2；§5 Tables1–3；附录B/F.2</v>
      </c>
      <c r="O9" s="12" t="str">
        <v>已落实于 v1.8 稿件。
Table 1 summarizes the conclusions enabled by comparing intervention layers, guarantees and evaluation endpoints. Matching five-column admission in Yuan et al. (2024), and matching the ten-column candidate pool in Hu et al. (2025), yield smaller gains than comparisons with single-column admission. Separating direct and recovered dual restrictions reveals that their runtimes concern different bound targets. Comparing completion with conditional runtime distinguishes fewer pricing calls from faster reliable solves. These conclusions require variant-specific mathematical and computational records, beyond an inventory of learning architectures (Fan et al., 2026; Hu et al., 2025; You et al., 2026a; Yuan et al., 2024; Zhou et al., 2025).</v>
      </c>
      <c r="P9" s="12" t="str">
        <v>Codex（依据作者裁决）</v>
      </c>
      <c r="Q9" s="12" t="str">
        <v>2026-10-15</v>
      </c>
    </row>
    <row r="10">
      <c r="A10" s="9" t="inlineStr">
        <is>
          <t>必核</t>
        </is>
      </c>
      <c r="B10" s="10" t="inlineStr">
        <is>
          <t>TX009</t>
        </is>
      </c>
      <c r="C10" s="10" t="inlineStr">
        <is>
          <t>事实</t>
        </is>
      </c>
      <c r="D10" s="10" t="inlineStr">
        <is>
          <t>Table 1 表头；Table 1 第1行；Table 1 第2行；Table 1 第3行；Table 1 第4行；Table 1 第5行</t>
        </is>
      </c>
      <c r="E10" s="10" t="inlineStr">
        <is>
          <t>Review</t>
        </is>
      </c>
      <c r="F10" s="10" t="inlineStr">
        <is>
          <t>[Table 1 表头] Review | Established coverage | Additional conclusion supported here
[Table 1 第1行] (Lübbecke and Desrosiers, 2005; Wilhelm, 2001) | Duality, stabilization, pricing schedules and integer completion | Current learned proposals are separated from the mathematical procedure needed to certify their target
[Table 1 第2行] (Costa et al., 2019; Petris et al., 2025) | Exact routing and BPC implementation, including cuts and relaxation | Root, incomplete-search and complete-tree claims are compared across applications without transferring guarantees between them
[Table 1 第3行] (Bengio et al., 2021; Lodi and Zarpellon, 2017; Scavuzzo et al., 2026) | Learning in optimization and branch-and-bound decisions | A learned branch score must be assessed with the child-CG cost and pricing-compatible candidate family
[Table 1 第4行] (Zhou et al., 2025) | Learning for routing, component selection and generalization | Reduced-cost filtering can outperform learned-only filtering; the combined result depends on the instance group
[Table 1 第5行] (Fan et al., 2026) | Column selection versus generation and AI across optimization | Matched batching gives a smaller identifiable learning gain than a single-column baseline; direct and recovered dual inequalities concern different bound targets</t>
        </is>
      </c>
      <c r="G10" s="10" t="inlineStr">
        <is>
          <t>S001 Lübbecke and Desrosiers, 2005；S014 Wilhelm, 2001；S003 Costa et al., 2019；S002 Petris et al., 2025；Bengio et al., 2021；S009 Lodi and Zarpellon, 2017；S011 Scavuzzo et al., 2026；S004 Zhou et al., 2025；S005 Fan et al., 2026</t>
        </is>
      </c>
      <c r="H10" s="10" t="inlineStr">
        <is>
          <t>Table 1 共 5 行。每行第二列“Established coverage（已有覆盖）”是对相关综述内容的概括，必须与原文一致：①Lübbecke &amp; Desrosiers 2005、Wilhelm 2001：对偶、稳定化、定价调度和整数求解；②Costa 2019、Petris 2025：精确路径与 BPC 实现（含割与松弛）；③Bengio 2021、Lodi &amp; Zarpellon 2017、Scavuzzo 2026：优化中的学习与分支定界决策；④Zhou 2025：路径问题中的学习、组件选择与泛化；⑤Fan 2026：列选择与列生成的区分，以及 AI 在优化中的应用。第三列是本文的结论，只需确认没有写成“这些综述已经得出”。</t>
        </is>
      </c>
      <c r="I10" s="10" t="inlineStr">
        <is>
          <t>Lübbecke and Desrosiers, 2005：02_参考文献/论文全文/ 中以 S001_ 开头的文件
Wilhelm, 2001：02_参考文献/论文全文/ 中以 S014_ 开头的文件
Costa et al., 2019：02_参考文献/论文全文/ 中以 S003_ 开头的文件
Petris et al., 2025：02_参考文献/论文全文/ 中以 S002_ 开头的文件
Bengio et al., 2021：90_过程归档/大修_v1.5/fulltext/Bengio/PDFs/Machine_Learning_for_Combinatorial_Optimization.pdf
Lodi and Zarpellon, 2017：02_参考文献/论文全文/ 中以 S009_ 开头的文件
Scavuzzo et al., 2026：02_参考文献/论文全文/ 中以 S011_ 开头的文件
Zhou et al., 2025：02_参考文献/论文全文/ 中以 S004_ 开头的文件
Fan et al., 2026：02_参考文献/论文全文/ 中以 S005_ 开头的文件</t>
        </is>
      </c>
      <c r="J10" s="10" t="inlineStr">
        <is>
          <t>E-B-S005-02：PDF pp15–17, §6.3, Figure 8 and Eq. (16)（关键词匹配，仅供参考）
E-R-S014-02：Main PDF pp. 30–32, Sections 4.2–4.3（关键词匹配，仅供参考）</t>
        </is>
      </c>
      <c r="K10" s="10" t="inlineStr"/>
      <c r="L10" s="12" t="inlineStr"/>
      <c r="M10" s="12" t="inlineStr"/>
      <c r="N10" s="12" t="inlineStr"/>
      <c r="O10" s="12" t="inlineStr"/>
      <c r="P10" s="12" t="inlineStr"/>
      <c r="Q10" s="12" t="inlineStr"/>
    </row>
    <row r="11">
      <c r="A11" s="13" t="inlineStr">
        <is>
          <t>建议核</t>
        </is>
      </c>
      <c r="B11" s="10" t="inlineStr">
        <is>
          <t>TX010</t>
        </is>
      </c>
      <c r="C11" s="10" t="inlineStr">
        <is>
          <t>背景</t>
        </is>
      </c>
      <c r="D11" s="10" t="inlineStr">
        <is>
          <t>§1 第14段 第1–2句</t>
        </is>
      </c>
      <c r="E11" s="10" t="inlineStr">
        <is>
          <t>Broader accounts of learning in optimization explain</t>
        </is>
      </c>
      <c r="F11" s="10" t="inlineStr">
        <is>
          <t>[§1 第14段 第1–2句] Broader accounts of learning in optimization explain algorithm selection, imitation of costly decisions and distribution-dependent evaluation (Bengio et al., 2021; Lodi and Zarpellon, 2017; Scavuzzo et al., 2026). Classical foundations include the edited volume Column Generation and the recent Branch-and-Price monograph (Desaulniers et al., 2005; Desrosiers et al., 2026).</t>
        </is>
      </c>
      <c r="G11" s="10" t="inlineStr">
        <is>
          <t>Bengio et al., 2021；S009 Lodi and Zarpellon, 2017；S011 Scavuzzo et al., 2026；Desaulniers et al., 2005；Desrosiers et al., 2026</t>
        </is>
      </c>
      <c r="H11" s="10" t="inlineStr">
        <is>
          <t>确认 Bengio 2021、Lodi &amp; Zarpellon 2017、Scavuzzo 2026 讨论了算法选择、模仿高成本决策和依赖分布的评估；确认编著《Column Generation》(Desaulniers et al., 2005) 与专著 Branch-and-Price (Desrosiers et al., 2026) 的书名和出版信息正确（在 8_参考文献核对 中一并核对）。</t>
        </is>
      </c>
      <c r="I11" s="10" t="inlineStr">
        <is>
          <t>Bengio et al., 2021：90_过程归档/大修_v1.5/fulltext/Bengio/PDFs/Machine_Learning_for_Combinatorial_Optimization.pdf
Lodi and Zarpellon, 2017：02_参考文献/论文全文/ 中以 S009_ 开头的文件
Scavuzzo et al., 2026：02_参考文献/论文全文/ 中以 S011_ 开头的文件
Desaulniers et al., 2005：未单独保存全书（只核对了书目信息和已读章节）
Desrosiers et al., 2026：90_过程归档/大修_v1.5/fulltext/book/PDFs/Branch_and_Price.pdf</t>
        </is>
      </c>
      <c r="J11" s="10" t="inlineStr">
        <is>
          <t>数据包中没有该文献的证据记录</t>
        </is>
      </c>
      <c r="K11" s="10" t="inlineStr">
        <is>
          <t>8_参考文献核对</t>
        </is>
      </c>
      <c r="L11" s="12" t="inlineStr"/>
      <c r="M11" s="12" t="inlineStr"/>
      <c r="N11" s="12" t="inlineStr"/>
      <c r="O11" s="12" t="inlineStr"/>
      <c r="P11" s="12" t="inlineStr"/>
      <c r="Q11" s="12" t="inlineStr"/>
    </row>
    <row r="12" ht="88" customHeight="1">
      <c r="A12" s="9" t="inlineStr">
        <is>
          <t>必核</t>
        </is>
      </c>
      <c r="B12" s="10" t="inlineStr">
        <is>
          <t>TX011</t>
        </is>
      </c>
      <c r="C12" s="10" t="inlineStr">
        <is>
          <t>事实</t>
        </is>
      </c>
      <c r="D12" s="10" t="inlineStr">
        <is>
          <t>§2 第1段 第3句</t>
        </is>
      </c>
      <c r="E12" s="10" t="inlineStr">
        <is>
          <t>The distinction between conceptual, critical and computational</t>
        </is>
      </c>
      <c r="F12" s="10" t="inlineStr">
        <is>
          <t>[§2 第1段 第3句] The distinction between conceptual, critical and computational reviews is important for interpreting that purpose (Schryen and Sperling, 2023).</t>
        </is>
      </c>
      <c r="G12" s="10" t="inlineStr">
        <is>
          <t>S007 Schryen and Sperling, 2023</t>
        </is>
      </c>
      <c r="H12" s="10" t="inlineStr">
        <is>
          <t>确认 Schryen &amp; Sperling (2023) 确实区分了概念性（conceptual）、批判性（critical）和计算性（computational）综述，且本文把自己定位为批判性综述的说法与该文一致。</t>
        </is>
      </c>
      <c r="I12" s="10" t="inlineStr">
        <is>
          <t>Schryen and Sperling, 2023：02_参考文献/论文全文/ 中以 S007_ 开头的文件</t>
        </is>
      </c>
      <c r="J12" s="10" t="inlineStr">
        <is>
          <t>未自动匹配到对应记录；数据包中有 S007 2 条证据记录（data/release_1_2/evidence.csv，按 study_id 筛选）</t>
        </is>
      </c>
      <c r="K12" s="10" t="inlineStr"/>
      <c r="L12" s="12" t="inlineStr"/>
      <c r="M12" s="12" t="str">
        <v>需修改</v>
      </c>
      <c r="N12" s="12" t="str">
        <v>按裁决表文献取舍建议及 codex_辅助记录.xlsx 中本编号原文依据执行；仅修改断言或对应引用，不删除整篇文献。</v>
      </c>
      <c r="O12" s="12" t="str">
        <v>已落实于 v1.8 稿件。
This review uses a traceable critical sample to compare acceleration mechanisms and their computational consequences. It does not estimate field prevalence or pool speedups. Review objectives and methods differ (Schryen and Sperling, 2023); the critical orientation here is the present review’s stated purpose. A method variant, with an identifiable action, protection condition and experimental target, is the unit of coding.</v>
      </c>
      <c r="P12" s="12" t="str">
        <v>Codex（依据作者裁决）</v>
      </c>
      <c r="Q12" s="12" t="str">
        <v>2026-10-15</v>
      </c>
    </row>
    <row r="13" ht="60" customHeight="1">
      <c r="A13" s="13" t="inlineStr">
        <is>
          <t>建议核</t>
        </is>
      </c>
      <c r="B13" s="10" t="inlineStr">
        <is>
          <t>TX012</t>
        </is>
      </c>
      <c r="C13" s="10" t="inlineStr">
        <is>
          <t>本人确认</t>
        </is>
      </c>
      <c r="D13" s="10" t="inlineStr">
        <is>
          <t>§2.1 第2段 第1–3句</t>
        </is>
      </c>
      <c r="E13" s="10" t="inlineStr">
        <is>
          <t>The recorded public-discovery phase began on 11</t>
        </is>
      </c>
      <c r="F13" s="10" t="inlineStr">
        <is>
          <t>[§2.1 第2段 第1–3句] The recorded public-discovery phase began on 11 October 2026 and used web and Crossref queries, publisher and conference records, arXiv, Optimization Online, SSRN, and author or institutional repositories. Identity and version checks continued on 12–13 October. On 14 October, targeted supplementary lookups checked named classical and learning references, publication details, versions and full-text access.</t>
        </is>
      </c>
      <c r="G13" s="10" t="inlineStr"/>
      <c r="H13" s="10" t="inlineStr">
        <is>
          <t>有记录的公开检索阶段：2026-10-11 开始（网页与 Crossref 检索、出版社与会议记录、arXiv、Optimization Online、SSRN、作者或机构仓库）；10-12 至 10-13 做身份与版本核查；10-14 做补充定向检索。日期来自数据包 search/ 目录的记录。请确认与你的实际工作时间一致。</t>
        </is>
      </c>
      <c r="I13" s="10" t="inlineStr">
        <is>
          <t>不需要原文（本文自己的推导、计数或你本人的陈述）</t>
        </is>
      </c>
      <c r="J13" s="10" t="inlineStr">
        <is>
          <t>不适用</t>
        </is>
      </c>
      <c r="K13" s="10" t="inlineStr"/>
      <c r="L13" s="12" t="str">
        <v>不适用</v>
      </c>
      <c r="M13" s="12" t="str">
        <v>一致</v>
      </c>
      <c r="N13" s="12" t="str">
        <v>D124 实际研究过程声明：保留原声明。作者已确认属实；文件验证范围与作者确认范围分别记录。
D124 PDF 不适用（日志和作者确认）；search目录；2026-10-15用户确认</v>
      </c>
      <c r="O13" s="12" t="str">
        <v>D124 实际研究过程声明：保留原声明。作者已确认属实；文件验证范围与作者确认范围分别记录。</v>
      </c>
      <c r="P13" s="12" t="str">
        <v>Codex（依据作者裁决）</v>
      </c>
      <c r="Q13" s="12" t="str">
        <v>2026-10-15</v>
      </c>
    </row>
    <row r="14" ht="60" customHeight="1">
      <c r="A14" s="9" t="inlineStr">
        <is>
          <t>必核</t>
        </is>
      </c>
      <c r="B14" s="10" t="inlineStr">
        <is>
          <t>TX013</t>
        </is>
      </c>
      <c r="C14" s="10" t="inlineStr">
        <is>
          <t>本人确认</t>
        </is>
      </c>
      <c r="D14" s="10" t="inlineStr">
        <is>
          <t>§2.1 第3段 第1–3句</t>
        </is>
      </c>
      <c r="E14" s="10" t="inlineStr">
        <is>
          <t>The author supplied an initial full-text frame</t>
        </is>
      </c>
      <c r="F14" s="10" t="inlineStr">
        <is>
          <t>[§2.1 第3段 第1–3句] The author supplied an initial full-text frame of 101 reports representing 100 candidate families, obtained through searches in Web of Science, ScienceDirect, SSRN and other sources. Complete search strings and query-level results for this initial collection were not retained. The separately recorded public searches and selected reference-list checks informed the acquisition list and subsequent additions.</t>
        </is>
      </c>
      <c r="G14" s="10" t="inlineStr"/>
      <c r="H14" s="10" t="inlineStr">
        <is>
          <t>只有你能确认：初始全文框架由你提供，共 101 份报告、代表 100 个候选研究族，来自 Web of Science、ScienceDirect、SSRN 等检索；初始检索式和逐条检索结果没有保留。请确认数字和数据库名称属实、没有遗漏其他主要来源。</t>
        </is>
      </c>
      <c r="I14" s="10" t="inlineStr">
        <is>
          <t>不需要原文（本文自己的推导、计数或你本人的陈述）</t>
        </is>
      </c>
      <c r="J14" s="10" t="inlineStr">
        <is>
          <t>不适用</t>
        </is>
      </c>
      <c r="K14" s="10" t="inlineStr"/>
      <c r="L14" s="12" t="str">
        <v>不适用</v>
      </c>
      <c r="M14" s="12" t="str">
        <v>一致</v>
      </c>
      <c r="N14" s="12" t="str">
        <v>D125 实际研究过程声明：保留原声明。作者已确认属实；文件验证范围与作者确认范围分别记录。
D125 PDF 不适用（数据及作者确认）；初始全文框架；provenance与计数</v>
      </c>
      <c r="O14" s="12" t="str">
        <v>D125 实际研究过程声明：保留原声明。作者已确认属实；文件验证范围与作者确认范围分别记录。</v>
      </c>
      <c r="P14" s="12" t="str">
        <v>Codex（依据作者裁决）</v>
      </c>
      <c r="Q14" s="12" t="str">
        <v>2026-10-15</v>
      </c>
    </row>
    <row r="15">
      <c r="A15" s="15" t="inlineStr">
        <is>
          <t>自动重算</t>
        </is>
      </c>
      <c r="B15" s="15" t="inlineStr">
        <is>
          <t>TX014</t>
        </is>
      </c>
      <c r="C15" s="15" t="inlineStr">
        <is>
          <t>派生</t>
        </is>
      </c>
      <c r="D15" s="15" t="inlineStr">
        <is>
          <t>§2.1 第3段 第6句；§2.1 第3段 第8句</t>
        </is>
      </c>
      <c r="E15" s="15" t="inlineStr">
        <is>
          <t>Of the resulting 104 reports and 103</t>
        </is>
      </c>
      <c r="F15" s="15" t="inlineStr">
        <is>
          <t>[§2.1 第3段 第6句] Of the resulting 104 reports and 103 families, one report is an erratum attached to its review, and four adjacent surveys were excluded from method coding, leaving 99 families.
[§2.1 第3段 第8句] The review therefore covers 80 core, 8 supporting and 12 background families, and the 88 core or supporting families contribute 146 coded variants.</t>
        </is>
      </c>
      <c r="G15" s="15" t="inlineStr"/>
      <c r="H15" s="15" t="inlineStr">
        <is>
          <t>104 份报告 / 103 个研究族、1 份勘误、4 篇被排除的相邻综述、剩余 99 个研究族；最终 80 核心 / 8 支撑 / 12 背景，88 个核心或支撑研究族贡献 146 个变体。由数据包计数得出，你只需确认与 Figure A.1 和 Appendix A.1 一致。</t>
        </is>
      </c>
      <c r="I15" s="15" t="inlineStr">
        <is>
          <t>不需要原文（本文自己的推导、计数或你本人的陈述）</t>
        </is>
      </c>
      <c r="J15" s="15" t="inlineStr">
        <is>
          <t>不适用</t>
        </is>
      </c>
      <c r="K15" s="15" t="inlineStr"/>
      <c r="L15" s="15" t="inlineStr"/>
      <c r="M15" s="15" t="inlineStr"/>
      <c r="N15" s="15" t="inlineStr"/>
      <c r="O15" s="15" t="inlineStr"/>
      <c r="P15" s="15" t="inlineStr"/>
      <c r="Q15" s="15" t="inlineStr"/>
    </row>
    <row r="16" ht="166" customHeight="1">
      <c r="A16" s="15" t="inlineStr">
        <is>
          <t>已在其他表核对</t>
        </is>
      </c>
      <c r="B16" s="15" t="inlineStr">
        <is>
          <t>TX015</t>
        </is>
      </c>
      <c r="C16" s="15" t="inlineStr">
        <is>
          <t>事实</t>
        </is>
      </c>
      <c r="D16" s="15" t="inlineStr">
        <is>
          <t>§2.1 第4段 第1–6句</t>
        </is>
      </c>
      <c r="E16" s="15" t="inlineStr">
        <is>
          <t>The Crossref follow-up left 74 leads unselected</t>
        </is>
      </c>
      <c r="F16" s="15" t="inlineStr">
        <is>
          <t>[§2.1 第4段 第1–6句] The Crossref follow-up left 74 leads unselected (Supplementary Table S1). They were assessed only at title and available-abstract level and are not full-text exclusions. By title, 39 are CG or B&amp;P applications or formulations without a separately evaluated acceleration, 13 are resource-constrained shortest-path studies without a stated CG interface and 2 are general chapters. The remaining 20 address classical acceleration within the six layers and are the most consequential omission. They include proximal trust-region and analytic-centre stabilization (Ben Amor and Desrosiers, 2006; Karimi and Seifi, 2015), extra dual cuts (Valério de Carvalho, 2005), dual-variable-based fathoming and partial dominance in labeling (Heßler and Irnich, 2023; Lübbecke, 2005) and accelerating strategies for routing and crew scheduling (Desaulniers et al., 2002). These studies are cited as context but were not coded, so the traditional part of the inventory understates classical coverage, particularly at L2 and L4.</t>
        </is>
      </c>
      <c r="G16" s="15" t="inlineStr">
        <is>
          <t>补充表 S1（74 条线索）</t>
        </is>
      </c>
      <c r="H16" s="15" t="inlineStr">
        <is>
          <t>74 条未选线索及其标题层面分类（39 AP、13 RC、2 GC、20 CA）在 9_S1线索核对 中逐条核对。注意：CL074 与 CL075 可能是同一篇论文的重复记录，若确认重复，“74 条”“20 条”等数字都要改；§2.1 第4段第5句（“They include proximal trust-region and analytic-centre…”）点名的 6 篇（Ben Amor &amp; Desrosiers 2006；Karimi &amp; Seifi 2015；Valério de Carvalho 2005；Heßler &amp; Irnich 2023；Lübbecke 2005；Desaulniers et al. 2002）在表 9 中标为“正文点名”。</t>
        </is>
      </c>
      <c r="I16" s="15" t="inlineStr">
        <is>
          <t>见对应其他表</t>
        </is>
      </c>
      <c r="J16" s="15" t="inlineStr">
        <is>
          <t>见 9_S1线索核对</t>
        </is>
      </c>
      <c r="K16" s="15" t="inlineStr">
        <is>
          <t>9_S1线索核对</t>
        </is>
      </c>
      <c r="L16" s="15" t="inlineStr"/>
      <c r="M16" s="15" t="str">
        <v>需修改</v>
      </c>
      <c r="N16" s="15" t="str">
        <v>D032 稿件原文（定位摘录）：仅完成 CL074/CL075 去重时：74 条未选记录对应 73 个独立作品；CA 20 条对应 19 个独立作品；79 条线索对应 78 个独立作品；170 个不同 DOI 对应 169 个独立作品。DOI 数仍为 170。
以上不是最终重新分类总数，CL024 等仍待定。
D035 稿件原文（定位摘录）：删除将 cspy 计为“without a stated CG interface”的依据。最终类别和 RC/CA 汇总数保留未确定。
D032 PDF 不适用（注册元数据）；IEEE向Crossref注册的两条DOI记录；2026-10-15
D035 PDF 2（在线原文PDF）；Crossref出版社注册标题；2026-10-15；https://api.crossref.org/works/10.21105/joss.01655；另核原作者出版社页面/正文</v>
      </c>
      <c r="O16" s="15" t="str">
        <v>已落实于 v1.8 稿件。
The Crossref follow-up left 74 unselected lead records representing 73 independent works (Supplementary Table S1). These were assessed at title and available-abstract level and are not full-text exclusions. CL074 and CL075 identify the same work under two DOIs and are counted once as a work. Final category totals remain unresolved because several classifications require further evidence; cspy explicitly provides a CG interface and cannot be classified on the contrary premise. Identified classical context includes proximal trust-region and analytic-centre stabilization (Ben Amor and Desrosiers, 2006; Karimi and Seifi, 2015), extra dual cuts (Valério de Carvalho, 2005), dual-variable-based fathoming and partial dominance in labeling (Heßler and Irnich, 2023; Lübbecke, 2005), and routing and crew-scheduling strategies (Desaulniers et al., 2002). These sources were not coded as additional variants. Their presence among the unselected leads limits the classical coverage of this inventory.</v>
      </c>
      <c r="P16" s="15" t="str">
        <v>Codex（依据作者裁决）</v>
      </c>
      <c r="Q16" s="15" t="str">
        <v>2026-10-15</v>
      </c>
    </row>
    <row r="17">
      <c r="A17" s="9" t="inlineStr">
        <is>
          <t>必核</t>
        </is>
      </c>
      <c r="B17" s="10" t="inlineStr">
        <is>
          <t>TX016</t>
        </is>
      </c>
      <c r="C17" s="10" t="inlineStr">
        <is>
          <t>访问</t>
        </is>
      </c>
      <c r="D17" s="10" t="inlineStr">
        <is>
          <t>§2.2 第1段 第2–4句；§2.1 第3段 第7句</t>
        </is>
      </c>
      <c r="E17" s="10" t="inlineStr">
        <is>
          <t>For two included families an additional report</t>
        </is>
      </c>
      <c r="F17" s="10" t="inlineStr">
        <is>
          <t>[§2.2 第1段 第2–4句] For two included families an additional report was also read: the extended FFCG report with its training and test appendices (Hu et al., 2024; Hu et al., 2025) and the extended HAL report of the earlier in-out smoothing study linked to the included stabilization family (Pessoa et al., 2013; Pessoa et al., 2018). Neither adds a study. The diving study was read in its HAL author-manuscript version, associated with the 2019 journal article (Sadykov et al., 2019).
[§2.1 第3段 第7句] The targeted supplementary lookups added one fully read core family on diving (Sadykov et al., 2019).</t>
        </is>
      </c>
      <c r="G17" s="10" t="inlineStr">
        <is>
          <t>Hu et al., 2024；S059 Hu et al., 2025；Pessoa et al., 2013；S018 Pessoa et al., 2018；S105 Sadykov et al., 2019</t>
        </is>
      </c>
      <c r="H17" s="10" t="inlineStr">
        <is>
          <t>确认额外阅读的报告：FFCG 扩展报告（Hu et al., 2024，arXiv）含训练与测试附录；Pessoa et al. (2013) 是 Pessoa et al. (2018) 所属研究族早期 in-out 平滑研究的 HAL 扩展报告；Sadykov et al. (2019) 读的是 HAL 作者稿版本，对应 2019 年期刊论文。版本和页数在本表 Table A.2 那一行再核对一次。</t>
        </is>
      </c>
      <c r="I17" s="10" t="inlineStr">
        <is>
          <t>Hu et al., 2024：90_过程归档/大修_v1.5/fulltext/Hu/PDFs/FFCG_extended_arXiv_version.pdf
Hu et al., 2025：02_参考文献/论文全文/S059_Hu_2025.pdf
Pessoa et al., 2013：90_过程归档/大修_v1.5/fulltext/Pessoa/PDFs/In-Out_Separation_and_Column_Generation_Stabilization_by_Dual_Price_Smoothing.pdf
Pessoa et al., 2018：02_参考文献/论文全文/S018_Pessoa_2018.pdf
Sadykov et al., 2019：90_过程归档/大修_v1.5/fulltext/Sadykov/PDFs/Primal_Heuristics_for_Branch_and_Price.pdf</t>
        </is>
      </c>
      <c r="J17" s="10" t="inlineStr">
        <is>
          <t>未自动匹配到对应记录；数据包中有 S018 8 条、S059 4 条、S105 13 条证据记录（data/release_1_2/evidence.csv，按 study_id 筛选）</t>
        </is>
      </c>
      <c r="K17" s="10" t="inlineStr">
        <is>
          <t>本表 Table A.2 行</t>
        </is>
      </c>
      <c r="L17" s="12" t="inlineStr"/>
      <c r="M17" s="12" t="inlineStr"/>
      <c r="N17" s="12" t="inlineStr"/>
      <c r="O17" s="12" t="inlineStr"/>
      <c r="P17" s="12" t="inlineStr"/>
      <c r="Q17" s="12" t="inlineStr"/>
    </row>
    <row r="18" ht="231" customHeight="1">
      <c r="A18" s="9" t="inlineStr">
        <is>
          <t>必核</t>
        </is>
      </c>
      <c r="B18" s="10" t="inlineStr">
        <is>
          <t>TX017</t>
        </is>
      </c>
      <c r="C18" s="10" t="inlineStr">
        <is>
          <t>本人确认</t>
        </is>
      </c>
      <c r="D18" s="10" t="inlineStr">
        <is>
          <t>§2.2 第3段 第1–3句；§2.3 第3段 第1–2句</t>
        </is>
      </c>
      <c r="E18" s="10" t="inlineStr">
        <is>
          <t>OpenAI GPT-series models accessed through Codex and</t>
        </is>
      </c>
      <c r="F18" s="10" t="inlineStr">
        <is>
          <t>[§2.2 第3段 第1–3句] OpenAI GPT-series models accessed through Codex and Notion AI assisted literature discovery, screening, data extraction, initial coding and source checks. Their coverage and unresolved coding questions are documented in the accompanying audit, and the inventory remains subject to author adjudication. No independent human double screening or double coding was performed, and no inter-rater reliability statistic is reported.
[§2.3 第3段 第1–2句] Several cited studies were available only as preprints at the review cutoff. They are marked in the references and remain provisional pending peer review.</t>
        </is>
      </c>
      <c r="G18" s="10" t="inlineStr"/>
      <c r="H18" s="10" t="inlineStr">
        <is>
          <t>确认方法陈述属实：AI（Codex 中的 OpenAI GPT 系列模型和 Notion AI）辅助了文献发现、筛选、数据提取、初始编码和原文核查；没有进行独立的人工双人筛选或双人编码，也不报告评分者一致性统计量；部分被引研究在截止时只有预印本，已在参考文献中标注。注意：§2.2 第3段第2句（“Their coverage and unresolved coding questions…”）“the inventory remains subject to author adjudication”在你完成表 1、表 2 后需要改写（我会根据你的裁决结果改）。</t>
        </is>
      </c>
      <c r="I18" s="10" t="inlineStr">
        <is>
          <t>不需要原文（本文自己的推导、计数或你本人的陈述）</t>
        </is>
      </c>
      <c r="J18" s="10" t="inlineStr">
        <is>
          <t>不适用</t>
        </is>
      </c>
      <c r="K18" s="10" t="inlineStr"/>
      <c r="L18" s="12" t="str">
        <v>不适用</v>
      </c>
      <c r="M18" s="12" t="str">
        <v>需修改</v>
      </c>
      <c r="N18" s="12" t="str">
        <v>D126 实际研究过程声明：保留原声明。作者已确认属实；文件验证范围与作者确认范围分别记录。
D126 PDF 不适用（审计记录与作者确认）；§2.2；§2.3；作者确认；审计表</v>
      </c>
      <c r="O18" s="12" t="str">
        <v>已落实于 v1.8 稿件。
OpenAI GPT-series models accessed through Codex and Notion AI assisted literature discovery, screening, data extraction, initial coding and source checks. Their coverage and unresolved coding questions are documented in the accompanying audit. The author approved the explicit corrections and the direct-intervention coding rule recorded on 15 October 2026; other flagged fields remain unresolved. No independent human double screening or double coding was performed, and no inter-rater reliability statistic is reported. The 146-variant frame was frozen for a re-coding pack (Appendix B.3), comprising a random sample of 24 variants drawn with seed 20261014, four prespecified boundary cases, coding definitions, blank forms and an agreement script. The inventory and Figure 3 are descriptive maps; the synthesis rests on located within-study comparisons rather than on category frequencies.
No second human coding has been completed, so no inter-rater agreement statistic is reported. The separate 27-case coding review contains both author-approved changes and unresolved proposals. The approved changes are applied in this revision, but this process does not constitute independent human validation. Figure 3 and the label counts remain descriptive outputs and are not used as comparative effect evidence.</v>
      </c>
      <c r="P18" s="12" t="str">
        <v>Codex（依据作者裁决）</v>
      </c>
      <c r="Q18" s="12" t="str">
        <v>2026-10-15</v>
      </c>
    </row>
    <row r="19" ht="296" customHeight="1">
      <c r="A19" s="9" t="inlineStr">
        <is>
          <t>必核</t>
        </is>
      </c>
      <c r="B19" s="10" t="inlineStr">
        <is>
          <t>TX018</t>
        </is>
      </c>
      <c r="C19" s="10" t="inlineStr">
        <is>
          <t>本人确认</t>
        </is>
      </c>
      <c r="D19" s="10" t="inlineStr">
        <is>
          <t>§2.3 第2段 第2–4句；§A.1 第4段 第2句；Data and code availability 第1段 第1–2句</t>
        </is>
      </c>
      <c r="E19" s="10" t="inlineStr">
        <is>
          <t>All four were rendered by released Python</t>
        </is>
      </c>
      <c r="F19" s="10" t="inlineStr">
        <is>
          <t>[§2.3 第2段 第2–4句] All four were rendered by released Python scripts whose development used OpenAI GPT-series models via Codex and Notion AI (exact model versions were not recorded); no source-study result or experimental image was generated. The records, scripts and supplementary tables underlying this article form version 1.7 of the review dataset (Yang, 2026). It supersedes the earlier public release 1.2 by adding the diving family, two documented recodings, Supplementary Tables S1 and S2, the re-coding materials of Appendix B.3, recovered search records and a source-coverage audit.
[§A.1 第4段 第2句] The dated queries, failed retrievals and lead dispositions are included in the data release (Yang, 2026).
[Data and code availability 第1段 第1–2句] Version 1.7 of the data and code package (Yang, 2026) is archived in Zenodo at https://doi.org/10.5281/zenodo.23386416 and mirrored at https://github.com/Focusyang/literature-review/tree/main/review_data_and_code_v1.7. The package contains the 146-variant inventory, its crosswalk to release 1.2, the retained public search and screening records, the recovered 14 October queries and access outcomes, page-level evidence for S105, Supplementary Tables S1 and S2, the codebook, the re-coding materials and agreement script, the coding audit, and the figure scripts.</t>
        </is>
      </c>
      <c r="G19" s="10" t="inlineStr"/>
      <c r="H19" s="10" t="inlineStr">
        <is>
          <t>确认：①四幅图都由已发布的 Python 脚本绘制，没有生成任何源研究结果或实验图像；②数据包为 v1.7（Yang, 2026），Zenodo DOI 10.5281/zenodo.23386416 和 GitHub 镜像链接都能打开、内容是最新版本。若发布 v1.8，DOI、版本号和链接都要同步更新。</t>
        </is>
      </c>
      <c r="I19" s="10" t="inlineStr">
        <is>
          <t>不需要原文（本文自己的推导、计数或你本人的陈述）</t>
        </is>
      </c>
      <c r="J19" s="10" t="inlineStr">
        <is>
          <t>不适用</t>
        </is>
      </c>
      <c r="K19" s="10" t="inlineStr"/>
      <c r="L19" s="12" t="str">
        <v>不适用</v>
      </c>
      <c r="M19" s="12" t="str">
        <v>需修改</v>
      </c>
      <c r="N19" s="12" t="str">
        <v>D127 实际研究过程声明：保留原声明。作者已确认属实；文件验证范围与作者确认范围分别记录。
D127 PDF 不适用（数据包、代码及官方接口）；§2.3；Data and code availability；Zenodo记录23386416；GitHub main</v>
      </c>
      <c r="O19" s="12" t="str">
        <v>已落实于 v1.8 稿件。
Figures 1 and 2 are conceptual diagrams drawn from the review definitions. Figures 3 and A.1 use the coding and selection records after the approved corrections. The four figures use Python scripts developed with assistance from OpenAI GPT-series models through Codex and Notion AI; exact model versions were not recorded, and no source-study experimental image was generated. The archived review dataset remains version 1.7 (Yang, 2026). This working manuscript revision uses local corrected records and updated Figure 3 and Figure A.1 scripts; those revisions have not yet replaced the archived dataset.
Version 1.7 of the data and code package (Yang, 2026) is archived in Zenodo at https://doi.org/10.5281/zenodo.23386416 and mirrored at https://github.com/Focusyang/literature-review/tree/main/review_data_and_code_v1.7. This archive preserves the pre-revision records. The corrected working inventory, supplementary records and regenerated figures used in this manuscript revision are supplied locally and have not yet been deposited as a new public dataset version. The archived package contains the 146-variant inventory, its crosswalk to release 1.2, the retained public search and screening records, the recovered 14 October queries and access outcomes, page-level evidence for S105, Supplementary Tables S1 and S2, the codebook, the re-coding materials and agreement script, the coding audit, and the figure scripts. The author's initial database search log and query-level zero-result records were not retained. Original review data and documentation use CC BY 4.0, and code uses MIT; third-party material retains its original rights. Third-party full texts are not redistributed. No new solver experiments were conducted; the small routing example is an analytic illustration.</v>
      </c>
      <c r="P19" s="12" t="str">
        <v>Codex（依据作者裁决）</v>
      </c>
      <c r="Q19" s="12" t="str">
        <v>2026-10-15</v>
      </c>
    </row>
    <row r="20">
      <c r="A20" s="13" t="inlineStr">
        <is>
          <t>建议核</t>
        </is>
      </c>
      <c r="B20" s="10" t="inlineStr">
        <is>
          <t>TX019</t>
        </is>
      </c>
      <c r="C20" s="10" t="inlineStr">
        <is>
          <t>背景</t>
        </is>
      </c>
      <c r="D20" s="10" t="inlineStr">
        <is>
          <t>§3.1 第3段 第5句</t>
        </is>
      </c>
      <c r="E20" s="10" t="inlineStr">
        <is>
          <t>A valid lower bound from a relaxation</t>
        </is>
      </c>
      <c r="F20" s="10" t="inlineStr">
        <is>
          <t>[§3.1 第3段 第5句] A valid lower bound from a relaxation can also suffice (Feillet, 2010; Lübbecke and Desrosiers, 2005).</t>
        </is>
      </c>
      <c r="G20" s="10" t="inlineStr">
        <is>
          <t>S012 Feillet, 2010；S001 Lübbecke and Desrosiers, 2005</t>
        </is>
      </c>
      <c r="H20" s="10" t="inlineStr">
        <is>
          <t>确认 Feillet 2010 和 Lübbecke &amp; Desrosiers 2005 说明了“由松弛得到的有效下界也可以足够”。</t>
        </is>
      </c>
      <c r="I20" s="10" t="inlineStr">
        <is>
          <t>Feillet, 2010：02_参考文献/论文全文/ 中以 S012_ 开头的文件
Lübbecke and Desrosiers, 2005：02_参考文献/论文全文/ 中以 S001_ 开头的文件</t>
        </is>
      </c>
      <c r="J20" s="10" t="inlineStr">
        <is>
          <t>未自动匹配到对应记录；数据包中有 S001 5 条、S012 3 条证据记录（data/release_1_2/evidence.csv，按 study_id 筛选）</t>
        </is>
      </c>
      <c r="K20" s="10" t="inlineStr"/>
      <c r="L20" s="12" t="inlineStr"/>
      <c r="M20" s="12" t="inlineStr"/>
      <c r="N20" s="12" t="inlineStr"/>
      <c r="O20" s="12" t="inlineStr"/>
      <c r="P20" s="12" t="inlineStr"/>
      <c r="Q20" s="12" t="inlineStr"/>
    </row>
    <row r="21">
      <c r="A21" s="9" t="inlineStr">
        <is>
          <t>必核</t>
        </is>
      </c>
      <c r="B21" s="10" t="inlineStr">
        <is>
          <t>TX020</t>
        </is>
      </c>
      <c r="C21" s="10" t="inlineStr">
        <is>
          <t>公式</t>
        </is>
      </c>
      <c r="D21" s="10" t="inlineStr">
        <is>
          <t>§3.1 第6段；§3.1 Eq. (3)；§3.1 第7段；§3.1 第8段；§3.1 Eq. (4)；§3.1 第9段</t>
        </is>
      </c>
      <c r="E21" s="10" t="inlineStr">
        <is>
          <t>Incomplete pricing can nevertheless produce valid bounds.</t>
        </is>
      </c>
      <c r="F21" s="10" t="inlineStr">
        <is>
          <t>[§3.1 第6段] Incomplete pricing can nevertheless produce valid bounds. Let π have the correct row signs, let ℓ be a certified lower bound on every legal reduced cost, and suppose the full LP has an optimal solution whose total column weight is at most a known K. Then
[§3.1 Eq. (3)] Eq. (3)（公式，见 Word 原稿）
[§3.1 第7段] To see this, write the cost of that optimal solution as its dual contribution plus its reduced-cost contribution. The former is at least bᵀπ under the covering signs. If ℓ is negative, the latter is at least Kℓ; otherwise it is nonnegative. A bound on all feasible column weights is sufficient but stronger than needed. Models with block convexity or other normalization admit corresponding blockwise bounds. A heuristic route cost is an upper bound on the pricing minimum, so it cannot serve as ℓ merely because it is the best route found.
[§3.1 第8段] Bounds available before full pricing closure have a classical antecedent in Farley's work on large LPs, including cutting stock (Farley, 1990). The column-mass argument in Eq. (3) states the assumptions needed here. A distinct, useful unit-cost construction makes the dual scaling explicit: if all column costs equal one, π is nonnegative, and U bounds the largest value of aⱼᵀπ, then
[§3.1 Eq. (4)] Eq. (4)（公式，见 Word 原稿）
[§3.1 第9段] Indeed, scaling π by the positive denominator makes every full-dual constraint feasible. The additive correction and the scaling construction depend on different available information. Neither permits an unconstrained prediction to replace a certified bound.</t>
        </is>
      </c>
      <c r="G21" s="10" t="inlineStr"/>
      <c r="H21" s="10" t="inlineStr">
        <is>
          <t>本文自己的推导，不需要找原文，但请逐步验算。Eq. (3)：LB = bᵀπ + K·min{0, ℓ} ≤ z_LP。条件：π 的行符号正确；ℓ 是所有合法列约化成本的已认证下界；全 LP 存在一个最优解，其列权重之和 ≤ K。推理：最优解成本 = 对偶贡献（≥ bᵀπ）+ 约化成本贡献（ℓ &lt; 0 时 ≥ K·ℓ，否则 ≥ 0）。Eq. (4)：所有列成本为 1、π ≥ 0、U ≥ max aⱼᵀπ 时，bᵀπ / max{1, U} ≤ z_LP（把 π 除以 max{1, U} 后对偶可行）。另确认 §3.1 第8段第1句（“Bounds available before full pricing closure…”） Farley (1990) 的引用（见下一行）。</t>
        </is>
      </c>
      <c r="I21" s="10" t="inlineStr">
        <is>
          <t>不需要原文（本文自己的推导、计数或你本人的陈述）</t>
        </is>
      </c>
      <c r="J21" s="10" t="inlineStr">
        <is>
          <t>不适用</t>
        </is>
      </c>
      <c r="K21" s="10" t="inlineStr"/>
      <c r="L21" s="12" t="inlineStr"/>
      <c r="M21" s="12" t="inlineStr"/>
      <c r="N21" s="12" t="inlineStr"/>
      <c r="O21" s="12" t="inlineStr"/>
      <c r="P21" s="12" t="inlineStr"/>
      <c r="Q21" s="12" t="inlineStr"/>
    </row>
    <row r="22" ht="88" customHeight="1">
      <c r="A22" s="13" t="inlineStr">
        <is>
          <t>建议核</t>
        </is>
      </c>
      <c r="B22" s="10" t="inlineStr">
        <is>
          <t>TX021</t>
        </is>
      </c>
      <c r="C22" s="10" t="inlineStr">
        <is>
          <t>背景</t>
        </is>
      </c>
      <c r="D22" s="10" t="inlineStr">
        <is>
          <t>§3.1 第8段 第1句</t>
        </is>
      </c>
      <c r="E22" s="10" t="inlineStr">
        <is>
          <t>Bounds available before full pricing closure have</t>
        </is>
      </c>
      <c r="F22" s="10" t="inlineStr">
        <is>
          <t>[§3.1 第8段 第1句] Bounds available before full pricing closure have a classical antecedent in Farley's work on large LPs, including cutting stock (Farley, 1990).</t>
        </is>
      </c>
      <c r="G22" s="10" t="inlineStr">
        <is>
          <t>Farley, 1990</t>
        </is>
      </c>
      <c r="H22" s="10" t="inlineStr">
        <is>
          <t>确认 Farley (1990) 讨论了大规模线性规划（包括切割下料）在定价未完全闭合前即可使用的下界。原文未获取，可按 DOI 查看摘要；如果只能在摘要层面确认，请在“原文依据”中写明。</t>
        </is>
      </c>
      <c r="I22" s="10" t="inlineStr">
        <is>
          <t>Farley, 1990：未获取原文：按 DOI 打开出版社页面或摘要核对</t>
        </is>
      </c>
      <c r="J22" s="10" t="inlineStr">
        <is>
          <t>不适用</t>
        </is>
      </c>
      <c r="K22" s="10" t="inlineStr">
        <is>
          <t>8_参考文献核对</t>
        </is>
      </c>
      <c r="L22" s="12" t="inlineStr"/>
      <c r="M22" s="12" t="str">
        <v>无法判断</v>
      </c>
      <c r="N22" s="12" t="str">
        <v>D120 原文依据（稿件定位摘录）：未确定。未取得足以支持具体断言的原始全文时，先撤下该断言的确定性表达；是否移除引用另作建议。
D120 PDF 不适用（网页）；出版社标题/摘要及DOI注册元数据；2026-10-15核查；https://pubsonline.informs.org/doi/10.1287/opre.38.5.922</v>
      </c>
      <c r="O22" s="12" t="str">
        <v>已落实于 v1.8 稿件。
Bounds available before full pricing closure have a classical antecedent in Farley's work on large LPs, including cutting stock (Farley, 1990). Eq. (3) is the column-mass argument used here under its stated assumptions, rather than a transcription of Farley’s formula. A distinct, useful unit-cost construction makes the dual scaling explicit: if all column costs equal one, π is nonnegative, and U bounds the largest value of aⱼᵀπ, then</v>
      </c>
      <c r="P22" s="12" t="str">
        <v>Codex（依据作者裁决）</v>
      </c>
      <c r="Q22" s="12" t="str">
        <v>2026-10-15</v>
      </c>
    </row>
    <row r="23">
      <c r="A23" s="9" t="inlineStr">
        <is>
          <t>必核</t>
        </is>
      </c>
      <c r="B23" s="10" t="inlineStr">
        <is>
          <t>TX022</t>
        </is>
      </c>
      <c r="C23" s="10" t="inlineStr">
        <is>
          <t>公式</t>
        </is>
      </c>
      <c r="D23" s="10" t="inlineStr">
        <is>
          <t>§3.2 第1段；§3.2 第2段；§3.2 Eq. (5)；§3.2 第3段；§3.2 第4段；§3.2 第5段</t>
        </is>
      </c>
      <c r="E23" s="10" t="inlineStr">
        <is>
          <t>Consider a deliberately small vehicle routing problem</t>
        </is>
      </c>
      <c r="F23" s="10" t="inlineStr">
        <is>
          <t>[§3.2 第1段] Consider a deliberately small vehicle routing problem with time windows (VRPTW). Customers 1 and 2 each require one unit, vehicle capacity is two, service times are zero, and every location has time window [0, 10]. Travel time equals travel cost. Each depot-to-customer or customer-to-depot arc costs two; each arc between the customers costs one. Columns are nonempty elementary depot-to-depot routes, and a set-partitioning master covers each customer exactly once. There are no cuts or fleet row in this example.
[§3.2 第2段] With only the two single-customer routes, the RMP costs eight. Its dual is π₁ = π₂ = 4. Either route visiting both customers costs five and has reduced cost −3. Now let an L4 filter delete both arcs between customers. The restricted pricing graph contains only the single-customer routes, whose reduced costs are zero. If J′ denotes that restricted route set, then
[§3.2 Eq. (5)] Eq. (5)（公式，见 Word 原稿）
[§3.2 第3段] The restricted optimum has the wrong bound direction for certifying the full pricing minimum. Calling its labeling routine exact does not repair the deleted arcs.
[§3.2 第4段] This example also quantifies the consequence for Eq. (3). In the partitioning master, every nonempty route visits at least one customer, so the total route weight is at most two. With K = 2 and the true pricing lower bound −3, Eq. (3) gives the valid but weak lower bound 2. Substituting the restricted value zero would claim the invalid lower bound 8, above both the full LP and integer optimum of 5.
[§3.2 第5段] G2 recovery restores the two omitted arcs and prices at the current dual. It discovers the combined route, after which the master reaches five. A subsequent full-domain check at, for example, π₁ = π₂ = 2.5 establishes nonnegative reduced costs and closes the LP. Recovery therefore includes the failed restricted search, restored pricing, master reoptimization and final certification. This is an analytic illustration, not a computational experiment or a speed comparison. Sections 5 and 6 use it to locate the obligations of more elaborate methods.</t>
        </is>
      </c>
      <c r="G23" s="10" t="inlineStr"/>
      <c r="H23" s="10" t="inlineStr">
        <is>
          <t>两客户 VRPTW 运行示例，逐个验算：①只有两条单客户路线时，RMP 成本 = (2+2) + (2+2) = 8；②对偶 π₁ = π₂ = 4；③同时访问两个客户的路线成本 = 2 + 1 + 2 = 5，约化成本 = 5 − 4 − 4 = −3；④删除两条客户间弧后，受限定价只剩单客户路线，约化成本 = 4 − 4 = 0；Eq. (5)：min_{r∈J} c̄_r = −3 &lt; min_{r∈J′} c̄_r = 0，z_LP = 5 &lt; z_RMP = 8；⑤K = 2 时，Eq. (3) 给出有效但较弱的下界 8 + 2 × (−3) = 2；若误用受限值 0，会得到无效下界 8，高于真实 LP 与整数最优值 5；⑥恢复两条弧后找到合并路线，主问题达到 5；在 π₁ = π₂ = 2.5 时，合并路线约化成本 = 5 − 2.5 − 2.5 = 0，单客户路线 = 4 − 2.5 = 1.5，均非负，LP 闭合。</t>
        </is>
      </c>
      <c r="I23" s="10" t="inlineStr">
        <is>
          <t>不需要原文（本文自己的推导、计数或你本人的陈述）</t>
        </is>
      </c>
      <c r="J23" s="10" t="inlineStr">
        <is>
          <t>不适用</t>
        </is>
      </c>
      <c r="K23" s="10" t="inlineStr"/>
      <c r="L23" s="12" t="inlineStr"/>
      <c r="M23" s="12" t="inlineStr"/>
      <c r="N23" s="12" t="inlineStr"/>
      <c r="O23" s="12" t="inlineStr"/>
      <c r="P23" s="12" t="inlineStr"/>
      <c r="Q23" s="12" t="inlineStr"/>
    </row>
    <row r="24">
      <c r="A24" s="13" t="inlineStr">
        <is>
          <t>建议核</t>
        </is>
      </c>
      <c r="B24" s="10" t="inlineStr">
        <is>
          <t>TX023</t>
        </is>
      </c>
      <c r="C24" s="10" t="inlineStr">
        <is>
          <t>背景</t>
        </is>
      </c>
      <c r="D24" s="10" t="inlineStr">
        <is>
          <t>§3.3 第1段 第3句</t>
        </is>
      </c>
      <c r="E24" s="10" t="inlineStr">
        <is>
          <t>These points induce different reduced costs for</t>
        </is>
      </c>
      <c r="F24" s="10" t="inlineStr">
        <is>
          <t>[§3.3 第1段 第3句] These points induce different reduced costs for columns outside the RMP and can therefore make subsequent pricing very different (du Merle et al., 1999; Gondzio et al., 2013; Rousseau et al., 2007).</t>
        </is>
      </c>
      <c r="G24" s="10" t="inlineStr">
        <is>
          <t>S023 du Merle et al., 1999；S041 Gondzio et al., 2013；S025 Rousseau et al., 2007</t>
        </is>
      </c>
      <c r="H24" s="10" t="inlineStr">
        <is>
          <t>确认 du Merle 1999、Gondzio 2013、Rousseau 2007 支持“同一最优对偶面上的不同点会诱导不同的约化成本，使后续定价差别很大”。</t>
        </is>
      </c>
      <c r="I24" s="10" t="inlineStr">
        <is>
          <t>du Merle et al., 1999：02_参考文献/论文全文/S023_Merle_1999.pdf
Gondzio et al., 2013：02_参考文献/论文全文/S041_Gondzio_2013.pdf
Rousseau et al., 2007：02_参考文献/论文全文/S025_Rousseau_2007.pdf</t>
        </is>
      </c>
      <c r="J24" s="10" t="inlineStr">
        <is>
          <t>E-T-S041-02：PDF p.5 §4; p.8 §4.2（关键词匹配，仅供参考）</t>
        </is>
      </c>
      <c r="K24" s="10" t="inlineStr"/>
      <c r="L24" s="12" t="inlineStr"/>
      <c r="M24" s="12" t="inlineStr"/>
      <c r="N24" s="12" t="inlineStr"/>
      <c r="O24" s="12" t="inlineStr"/>
      <c r="P24" s="12" t="inlineStr"/>
      <c r="Q24" s="12" t="inlineStr"/>
    </row>
    <row r="25">
      <c r="A25" s="9" t="inlineStr">
        <is>
          <t>必核</t>
        </is>
      </c>
      <c r="B25" s="10" t="inlineStr">
        <is>
          <t>TX024</t>
        </is>
      </c>
      <c r="C25" s="10" t="inlineStr">
        <is>
          <t>事实</t>
        </is>
      </c>
      <c r="D25" s="10" t="inlineStr">
        <is>
          <t>§3.4 第1段 第3句；§6.3 第4段 第4句</t>
        </is>
      </c>
      <c r="E25" s="10" t="inlineStr">
        <is>
          <t>Complete integer optimization can instead use a</t>
        </is>
      </c>
      <c r="F25" s="10" t="inlineStr">
        <is>
          <t>[§3.4 第1段 第3句] Complete integer optimization can instead use a valid B&amp;P tree or, under appropriate bounds, enumerate all columns that could improve an incumbent and solve the resulting finite integer model (Baldacci et al., 2011; Muter and Öncan, 2015).
[§6.3 第4段 第4句] Exact integer completion by exhaustive eligible-column enumeration has a different proof structure and should retain its own description (Baldacci et al., 2011; Muter and Öncan, 2015).</t>
        </is>
      </c>
      <c r="G25" s="10" t="inlineStr">
        <is>
          <t>S027 Baldacci et al., 2011；S098 Muter and Öncan, 2015</t>
        </is>
      </c>
      <c r="H25" s="10" t="inlineStr">
        <is>
          <t>确认 Baldacci 2011 和 Muter &amp; Öncan 2015 都可以在合适的界下“枚举所有可能改进当前最好整数解的列，再求解得到的有限整数模型”来完成整数优化（不是通过 B&amp;P 树）。相关变体 S027-M1、S098-M2 的编码在 2_TableA1核对 中核对。</t>
        </is>
      </c>
      <c r="I25" s="10" t="inlineStr">
        <is>
          <t>Baldacci et al., 2011：02_参考文献/论文全文/S027_Baldacci_2011.pdf
Muter and Öncan, 2015：02_参考文献/论文全文/S098_Muter_2015.pdf</t>
        </is>
      </c>
      <c r="J25" s="10" t="inlineStr">
        <is>
          <t>E-R-S098-02：PDF pp14–16, Section 3.4, Eq.12（关键词匹配，仅供参考）
E-R-S098-04：PDF pp18–20, Tables2–4 on pp27–29（关键词匹配，仅供参考）</t>
        </is>
      </c>
      <c r="K25" s="10" t="inlineStr">
        <is>
          <t>2_TableA1核对 S027-M1、S098-M2</t>
        </is>
      </c>
      <c r="L25" s="12" t="inlineStr"/>
      <c r="M25" s="12" t="inlineStr"/>
      <c r="N25" s="12" t="inlineStr"/>
      <c r="O25" s="12" t="inlineStr"/>
      <c r="P25" s="12" t="inlineStr"/>
      <c r="Q25" s="12" t="inlineStr"/>
    </row>
    <row r="26">
      <c r="A26" s="13" t="inlineStr">
        <is>
          <t>建议核</t>
        </is>
      </c>
      <c r="B26" s="10" t="inlineStr">
        <is>
          <t>TX025</t>
        </is>
      </c>
      <c r="C26" s="10" t="inlineStr">
        <is>
          <t>背景</t>
        </is>
      </c>
      <c r="D26" s="10" t="inlineStr">
        <is>
          <t>§3.4 第2段 第4句</t>
        </is>
      </c>
      <c r="E26" s="10" t="inlineStr">
        <is>
          <t>These conditions explain why a root result</t>
        </is>
      </c>
      <c r="F26" s="10" t="inlineStr">
        <is>
          <t>[§3.4 第2段 第4句] These conditions explain why a root result, even one with exact pricing, does not establish the behavior or completeness of a full BPC solver (Barnhart et al., 1998; Petris et al., 2025; Vanderbeck, 2005).</t>
        </is>
      </c>
      <c r="G26" s="10" t="inlineStr">
        <is>
          <t>S035 Barnhart et al., 1998；S002 Petris et al., 2025；S040 Vanderbeck, 2005</t>
        </is>
      </c>
      <c r="H26" s="10" t="inlineStr">
        <is>
          <t>确认三篇背景文献支持“根节点结果（即使定价精确）也不能说明完整 BPC 求解器的行为或完整性”。</t>
        </is>
      </c>
      <c r="I26" s="10" t="inlineStr">
        <is>
          <t>Barnhart et al., 1998：02_参考文献/论文全文/ 中以 S035_ 开头的文件
Petris et al., 2025：02_参考文献/论文全文/ 中以 S002_ 开头的文件
Vanderbeck, 2005：02_参考文献/论文全文/ 中以 S040_ 开头的文件</t>
        </is>
      </c>
      <c r="J26" s="10" t="inlineStr">
        <is>
          <t>未自动匹配到对应记录；数据包中有 S002 5 条、S035 5 条、S040 5 条证据记录（data/release_1_2/evidence.csv，按 study_id 筛选）</t>
        </is>
      </c>
      <c r="K26" s="10" t="inlineStr"/>
      <c r="L26" s="12" t="inlineStr"/>
      <c r="M26" s="12" t="inlineStr"/>
      <c r="N26" s="12" t="inlineStr"/>
      <c r="O26" s="12" t="inlineStr"/>
      <c r="P26" s="12" t="inlineStr"/>
      <c r="Q26" s="12" t="inlineStr"/>
    </row>
    <row r="27" ht="62" customHeight="1">
      <c r="A27" s="13" t="inlineStr">
        <is>
          <t>建议核</t>
        </is>
      </c>
      <c r="B27" s="10" t="inlineStr">
        <is>
          <t>TX026</t>
        </is>
      </c>
      <c r="C27" s="10" t="inlineStr">
        <is>
          <t>事实</t>
        </is>
      </c>
      <c r="D27" s="10" t="inlineStr">
        <is>
          <t>Table 2 第1行；Table 2 第2行；Table 2 第3行；Table 2 第4行；Table 2 第5行；Table 2 第6行</t>
        </is>
      </c>
      <c r="E27" s="10" t="inlineStr">
        <is>
          <t>L1 Branch or open node</t>
        </is>
      </c>
      <c r="F27" s="10" t="inlineStr">
        <is>
          <t>[Table 2 第1行] L1 Branch or open node | Pseudocosts, strong branching, node rules | Predict scores or allocate candidate-evaluation effort (Furian et al., 2021; You et al., 2026b) | Valid disjunctions and retained nodes; scoring overhead
[Table 2 第2行] L2 Master and dual | Warm starts, smoothing, penalties, dual inequalities | Predict a reference or stabilization parameter (Kraul et al., 2023; Shen et al., 2024; Wang and Khir, 2026) | Recover original LP conditions; cost per induced pricing call
[Table 2 第3行] L3 Pricing schedule | Partial pricing, pools, oracle cascades | Rank blocks or select a routine (Koutecká et al., 2025; Shan et al., 2026; Xu et al., 2025) | All required blocks certified at closure; variable call costs
[Table 2 第4行] L4 Domain and state | Dominance, completion bounds, resource relaxation | Propose graph/state restriction or feasibility test (Basso and Salani, 2026; Morabit et al., 2023; Zhang et al., 2022) | Safe proof or complete restoration; false rejection and recovery
[Table 2 第5行] L5 Search and construction | Bidirectional labeling, buckets, constructive heuristics | Order labels or generate feasible columns (Minoli et al., 2026; Shen et al., 2022; Xu et al., 2024) | Retain necessary states or exact fallback; inference cost
[Table 2 第6行] L6 Existing columns | Batching, cleanup, pools and certified fixing | Score admission, retention or batch size (Hu et al., 2025; Morabit et al., 2021; Yuan et al., 2024) | Regeneration and progress guard; master/pricing tradeoff</t>
        </is>
      </c>
      <c r="G27" s="10" t="inlineStr">
        <is>
          <t>S049 Furian et al., 2021；S062 You et al., 2026b；S056 Kraul et al., 2023；S075 Shen et al., 2024；S063 Wang and Khir, 2026；S058 Koutecká et al., 2025；S091 Shan et al., 2026；S060 Xu et al., 2025；S064 Basso and Salani, 2026；S055 Morabit et al., 2023；S052 Zhang et al., 2022；S065 Minoli et al., 2026；S053 Shen et al., 2022；S088 Xu et al., 2024；S059 Hu et al., 2025；S050 Morabit et al., 2021；S057 Yuan et al., 2024</t>
        </is>
      </c>
      <c r="H27" s="10" t="inlineStr">
        <is>
          <t>Table 2 第三列括号里的研究是各层“学习型动作”的例子，请确认每个研究确实做了所写的动作：L1 预测分支或节点得分、分配候选评估（Furian 2021；You 2026b）；L2 预测参考点或稳定化参数（Kraul 2023；Shen 2024；Wang &amp; Khir 2026）；L3 对定价块排序或选择定价程序（Koutecká 2025；Shan 2026；Xu 2025）；L4 提出图或状态限制、可行性测试（Basso &amp; Salani 2026；Morabit 2023；Zhang 2022）；L5 对标签排序或生成可行列（Minoli 2026；Shen 2022；Xu 2024）；L6 对列的准入、保留或批量大小打分（Hu 2025；Morabit 2021；Yuan 2024）。</t>
        </is>
      </c>
      <c r="I27" s="10" t="inlineStr">
        <is>
          <t>Furian et al., 2021：02_参考文献/论文全文/S049_Furian_2021.pdf
You et al., 2026b：02_参考文献/论文全文/S062_You_2026.pdf
Kraul et al., 2023：02_参考文献/论文全文/S056_Kraul_2023.pdf
Shen et al., 2024：02_参考文献/论文全文/S075_Shen_2024.pdf
Wang and Khir, 2026：02_参考文献/论文全文/S063_Wang_2026.pdf
Koutecká et al., 2025：02_参考文献/论文全文/S058_Koutecka_2025.pdf
Shan et al., 2026：02_参考文献/论文全文/S091_Shan_2026.pdf
Xu et al., 2025：02_参考文献/论文全文/S060_Xu_2025.pdf
Basso and Salani, 2026：02_参考文献/论文全文/S064_Basso_2026.pdf
Morabit et al., 2023：02_参考文献/论文全文/S055_Morabit_2023.pdf
Zhang et al., 2022：02_参考文献/论文全文/S052_Zhang_2022.pdf
Minoli et al., 2026：02_参考文献/论文全文/S065_Minoli_2026.pdf
Shen et al., 2022：02_参考文献/论文全文/S053_Shen_2022.pdf
Xu et al., 2024：02_参考文献/论文全文/S088_Xu_2024.pdf
Hu et al., 2025：02_参考文献/论文全文/S059_Hu_2025.pdf
Morabit et al., 2021：02_参考文献/论文全文/S050_Morabit_2021.pdf
Yuan et al., 2024：02_参考文献/论文全文/S057_Yuan_2024.pdf</t>
        </is>
      </c>
      <c r="J27" s="10" t="inlineStr">
        <is>
          <t>E-A-S049-01：PDF pp12–14 §4.2–4.5; pp20–22 §7 Eq15 and Algorithm2（关键词匹配，仅供参考）
E-A-S063-01：PDF pp.6–8 §3, p.24 Proof 5; pp.10–11 §4.2.2; p.15 §5.4（关键词匹配，仅供参考）</t>
        </is>
      </c>
      <c r="K27" s="10" t="inlineStr"/>
      <c r="L27" s="12" t="inlineStr"/>
      <c r="M27" s="12" t="str">
        <v>需修改</v>
      </c>
      <c r="N27" s="12" t="str">
        <v>D041 稿件原文（定位摘录）：Table 2 的 L4 学习例中删除 Zhang et al. (2022)，将其放到 L6 的既有列可行性分类例。该论文的经典支配规则仍可作为 L4 内容，不能与学习分类器混称。
D041 PDF 8–9, 12–16；Theorems 1–2; Algorithm 1; §4.2 Fig.3; Algorithm 3; §5.2–5.3</v>
      </c>
      <c r="O27" s="12" t="str">
        <v>D041 稿件原文（定位摘录）：Table 2 的 L4 学习例中删除 Zhang et al. (2022)，将其放到 L6 的既有列可行性分类例。该论文的经典支配规则仍可作为 L4 内容，不能与学习分类器混称。</v>
      </c>
      <c r="P27" s="12" t="str">
        <v>Codex（依据作者裁决）</v>
      </c>
      <c r="Q27" s="12" t="str">
        <v>2026-10-15</v>
      </c>
    </row>
    <row r="28">
      <c r="A28" s="13" t="inlineStr">
        <is>
          <t>建议核</t>
        </is>
      </c>
      <c r="B28" s="10" t="inlineStr">
        <is>
          <t>TX027</t>
        </is>
      </c>
      <c r="C28" s="10" t="inlineStr">
        <is>
          <t>公式</t>
        </is>
      </c>
      <c r="D28" s="10" t="inlineStr">
        <is>
          <t>§5.1 第2段；§5.1 第3段 第6句</t>
        </is>
      </c>
      <c r="E28" s="10" t="inlineStr">
        <is>
          <t>In the running VRPTW example, let arij</t>
        </is>
      </c>
      <c r="F28" s="10" t="inlineStr">
        <is>
          <t>[§5.1 第2段] In the running VRPTW example, let arij indicate whether route r uses arc (i, j). For a fractional aggregate arc value at a node, a standard integer disjunction is
[§5.1 第3段 第6句] In either case, the children must cover the parent's integer solutions, and a complete branching family must resolve remaining fractionality (Barnhart et al., 1998; Pessoa et al., 2020; Petris et al., 2025).</t>
        </is>
      </c>
      <c r="G28" s="10" t="inlineStr">
        <is>
          <t>S035 Barnhart et al., 1998；S039 Pessoa et al., 2020；S002 Petris et al., 2025</t>
        </is>
      </c>
      <c r="H28" s="10" t="inlineStr">
        <is>
          <t>Eq. (6) 弧分支：x_ij = Σ_{r∈J} a^r_ij λ_r（a^r_ij 表示路线 r 是否使用弧 (i, j)，λ_r 为路线变量取值），分支为 x_ij ≤ ⌊x*_ij⌋ 或 x_ij ≥ ⌈x*_ij⌉。确认公式写法；三篇文献只需支持“子节点必须覆盖父节点的整数解，完整分支族必须能消除剩余分数性”。</t>
        </is>
      </c>
      <c r="I28" s="10" t="inlineStr">
        <is>
          <t>Barnhart et al., 1998：02_参考文献/论文全文/ 中以 S035_ 开头的文件
Pessoa et al., 2020：02_参考文献/论文全文/S039_Pessoa_2020.pdf
Petris et al., 2025：02_参考文献/论文全文/ 中以 S002_ 开头的文件</t>
        </is>
      </c>
      <c r="J28" s="10" t="inlineStr">
        <is>
          <t>不适用</t>
        </is>
      </c>
      <c r="K28" s="10" t="inlineStr"/>
      <c r="L28" s="12" t="inlineStr"/>
      <c r="M28" s="12" t="inlineStr"/>
      <c r="N28" s="12" t="inlineStr"/>
      <c r="O28" s="12" t="inlineStr"/>
      <c r="P28" s="12" t="inlineStr"/>
      <c r="Q28" s="12" t="inlineStr"/>
    </row>
    <row r="29">
      <c r="A29" s="13" t="inlineStr">
        <is>
          <t>建议核</t>
        </is>
      </c>
      <c r="B29" s="10" t="inlineStr">
        <is>
          <t>TX028</t>
        </is>
      </c>
      <c r="C29" s="10" t="inlineStr">
        <is>
          <t>事实</t>
        </is>
      </c>
      <c r="D29" s="10" t="inlineStr">
        <is>
          <t>§5.1 第4段 第2–3句</t>
        </is>
      </c>
      <c r="E29" s="10" t="inlineStr">
        <is>
          <t>Online ranking can imitate strong branching within</t>
        </is>
      </c>
      <c r="F29" s="10" t="inlineStr">
        <is>
          <t>[§5.1 第4段 第2–3句] Online ranking can imitate strong branching within an instance, while graph-based imitation can learn variable selection across instances (Gasse et al., 2019; Khalil et al., 2016). Their evidence is not transferred numerically to B&amp;P, where evaluating a child can require CG and where branching must remain compatible with pricing.</t>
        </is>
      </c>
      <c r="G29" s="10" t="inlineStr">
        <is>
          <t>Khalil et al., 2016；Gasse et al., 2019</t>
        </is>
      </c>
      <c r="H29" s="10" t="inlineStr">
        <is>
          <t>Khalil 2016：在单个实例内在线学习排序，模仿强分支；Gasse 2019：基于图的模仿学习，跨实例学习变量选择。按 Table A.2，这两篇只看了摘要和引言中的机制段落，核对这部分即可。</t>
        </is>
      </c>
      <c r="I29" s="10" t="inlineStr">
        <is>
          <t>Khalil et al., 2016：90_过程归档/大修_v1.5/fulltext/Khalil/PDFs/Learning_to_Branch_in_Mixed_Integer_Programming.pdf
Gasse et al., 2019：90_过程归档/大修_v1.5/fulltext/Gasse/PDFs/Exact_Combinatorial_Optimization_with_Graph_Convolutional_Neural_Networks.pdf</t>
        </is>
      </c>
      <c r="J29" s="10" t="inlineStr">
        <is>
          <t>不适用</t>
        </is>
      </c>
      <c r="K29" s="10" t="inlineStr"/>
      <c r="L29" s="12" t="inlineStr"/>
      <c r="M29" s="12" t="inlineStr"/>
      <c r="N29" s="12" t="inlineStr"/>
      <c r="O29" s="12" t="inlineStr"/>
      <c r="P29" s="12" t="inlineStr"/>
      <c r="Q29" s="12" t="inlineStr"/>
    </row>
    <row r="30">
      <c r="A30" s="13" t="inlineStr">
        <is>
          <t>建议核</t>
        </is>
      </c>
      <c r="B30" s="10" t="inlineStr">
        <is>
          <t>TX029</t>
        </is>
      </c>
      <c r="C30" s="10" t="inlineStr">
        <is>
          <t>事实</t>
        </is>
      </c>
      <c r="D30" s="10" t="inlineStr">
        <is>
          <t>§5.1 第4段 第4–5句</t>
        </is>
      </c>
      <c r="E30" s="10" t="inlineStr">
        <is>
          <t>Learning whether to invoke a decomposition is</t>
        </is>
      </c>
      <c r="F30" s="10" t="inlineStr">
        <is>
          <t>[§5.1 第4段 第4–5句] Learning whether to invoke a decomposition is another important, earlier decision (Kruber et al., 2017). It selects a solver or reformulation before the six within-decomposition interfaces considered here.</t>
        </is>
      </c>
      <c r="G30" s="10" t="inlineStr">
        <is>
          <t>Kruber et al., 2017</t>
        </is>
      </c>
      <c r="H30" s="10" t="inlineStr">
        <is>
          <t>Kruber 2017：学习“是否使用分解”（在求解器/重构之间选择），属于六层之外的上游决策。核对摘要和方法概述。</t>
        </is>
      </c>
      <c r="I30" s="10" t="inlineStr">
        <is>
          <t>Kruber et al., 2017：90_过程归档/大修_v1.5/fulltext/Kruber/PDFs/Learning_When_to_Use_a_Decomposition.pdf</t>
        </is>
      </c>
      <c r="J30" s="10" t="inlineStr">
        <is>
          <t>不适用</t>
        </is>
      </c>
      <c r="K30" s="10" t="inlineStr"/>
      <c r="L30" s="12" t="inlineStr"/>
      <c r="M30" s="12" t="inlineStr"/>
      <c r="N30" s="12" t="inlineStr"/>
      <c r="O30" s="12" t="inlineStr"/>
      <c r="P30" s="12" t="inlineStr"/>
      <c r="Q30" s="12" t="inlineStr"/>
    </row>
    <row r="31">
      <c r="A31" s="9" t="inlineStr">
        <is>
          <t>必核</t>
        </is>
      </c>
      <c r="B31" s="10" t="inlineStr">
        <is>
          <t>TX030</t>
        </is>
      </c>
      <c r="C31" s="10" t="inlineStr">
        <is>
          <t>事实</t>
        </is>
      </c>
      <c r="D31" s="10" t="inlineStr">
        <is>
          <t>§5.1 第6段 第1–3句</t>
        </is>
      </c>
      <c r="E31" s="10" t="inlineStr">
        <is>
          <t>Random-forest branching and node policies for sampled</t>
        </is>
      </c>
      <c r="F31" s="10" t="inlineStr">
        <is>
          <t>[§5.1 第6段 第1–3句] Random-forest branching and node policies for sampled routing retain the underlying complete search and use reliability checks or pseudocost fallback when the prediction is uncertain (Furian et al., 2021). Their correctness comes from the retained framework; their performance depends on the cost of those checks. Training instances remain related through common customer bases, so the evidence supports repeated solves on related structures more directly than transfer to new geography.</t>
        </is>
      </c>
      <c r="G31" s="10" t="inlineStr">
        <is>
          <t>S049 Furian et al., 2021</t>
        </is>
      </c>
      <c r="H31" s="10" t="inlineStr">
        <is>
          <t>确认 Furian 2021：随机森林用于分支和节点选择（路径问题的抽样实例）；预测不确定时用可靠性检查或伪成本（pseudocost）回退；保留完整搜索；训练实例共享客户基础（customer bases），因此证据更支持相关结构的重复求解，而不是向新地理区域迁移。</t>
        </is>
      </c>
      <c r="I31" s="10" t="inlineStr">
        <is>
          <t>Furian et al., 2021：02_参考文献/论文全文/S049_Furian_2021.pdf</t>
        </is>
      </c>
      <c r="J31" s="10" t="inlineStr">
        <is>
          <t>E-A-S049-01：PDF pp12–14 §4.2–4.5; pp20–22 §7 Eq15 and Algorithm2（关键词匹配，仅供参考）
E-A-S049-02：PDF pp22–25 §8.1–8.3; pp26–27 Table2（关键词匹配，仅供参考）</t>
        </is>
      </c>
      <c r="K31" s="10" t="inlineStr">
        <is>
          <t>2_TableA1核对 S049-M1/M2</t>
        </is>
      </c>
      <c r="L31" s="12" t="inlineStr"/>
      <c r="M31" s="12" t="inlineStr"/>
      <c r="N31" s="12" t="inlineStr"/>
      <c r="O31" s="12" t="inlineStr"/>
      <c r="P31" s="12" t="inlineStr"/>
      <c r="Q31" s="12" t="inlineStr"/>
    </row>
    <row r="32">
      <c r="A32" s="9" t="inlineStr">
        <is>
          <t>必核</t>
        </is>
      </c>
      <c r="B32" s="10" t="inlineStr">
        <is>
          <t>TX031</t>
        </is>
      </c>
      <c r="C32" s="10" t="inlineStr">
        <is>
          <t>事实</t>
        </is>
      </c>
      <c r="D32" s="10" t="inlineStr">
        <is>
          <t>§5.1 第7段 第1–5句；§6.3 第4段 第3句</t>
        </is>
      </c>
      <c r="E32" s="10" t="inlineStr">
        <is>
          <t>Two-stage learned branching screens candidates before more</t>
        </is>
      </c>
      <c r="F32" s="10" t="inlineStr">
        <is>
          <t>[§5.1 第7段 第1–5句] Two-stage learned branching screens candidates before more expensive evaluation (You et al., 2026b). Its conditions for selecting the same best candidate include accurate ranking information and exact child CG. The practical implementation relaxes those scoring assumptions. That can weaken a claim about branch quality without invalidating a valid chosen branch. Likewise, a smaller tree need not mean a faster solve if trial-child pricing becomes more expensive.
[§6.3 第4段 第3句] A trial-child score may be approximate if it is used only to choose a valid branch, but an approximate score cannot also be treated as a child lower bound without justification (Furian et al., 2021; You et al., 2026b).</t>
        </is>
      </c>
      <c r="G32" s="10" t="inlineStr">
        <is>
          <t>S062 You et al., 2026b；S049 Furian et al., 2021</t>
        </is>
      </c>
      <c r="H32" s="10" t="inlineStr">
        <is>
          <t>确认 You 2026b 两阶段学习分支：先筛选候选再做更昂贵的评估；“选出同一最佳候选”的条件包括准确的排序信息和精确的子节点 CG；实际实现放宽了这些评分假设。§6.3 第4段第3句（“A trial-child score may be approximate…”）：试探子节点得分可以是近似的（只用于选分支），但不能直接当作子节点下界——确认 Furian 与 You 两文中这一区分成立。</t>
        </is>
      </c>
      <c r="I32" s="10" t="inlineStr">
        <is>
          <t>You et al., 2026b：02_参考文献/论文全文/S062_You_2026.pdf
Furian et al., 2021：02_参考文献/论文全文/S049_Furian_2021.pdf</t>
        </is>
      </c>
      <c r="J32" s="10" t="inlineStr">
        <is>
          <t>E-A-S062-01：PDF pp8–11 §4.2–4.5, Assumptions1–3, Propositions1–3 and implementation Remarks（关键词匹配，仅供参考）
E-A-S049-01：PDF pp12–14 §4.2–4.5; pp20–22 §7 Eq15 and Algorithm2（关键词匹配，仅供参考）</t>
        </is>
      </c>
      <c r="K32" s="10" t="inlineStr"/>
      <c r="L32" s="12" t="inlineStr"/>
      <c r="M32" s="12" t="inlineStr"/>
      <c r="N32" s="12" t="inlineStr"/>
      <c r="O32" s="12" t="inlineStr"/>
      <c r="P32" s="12" t="inlineStr"/>
      <c r="Q32" s="12" t="inlineStr"/>
    </row>
    <row r="33">
      <c r="A33" s="9" t="inlineStr">
        <is>
          <t>必核</t>
        </is>
      </c>
      <c r="B33" s="10" t="inlineStr">
        <is>
          <t>TX032</t>
        </is>
      </c>
      <c r="C33" s="10" t="inlineStr">
        <is>
          <t>事实</t>
        </is>
      </c>
      <c r="D33" s="10" t="inlineStr">
        <is>
          <t>§5.1 第8段 第2句</t>
        </is>
      </c>
      <c r="E33" s="10" t="inlineStr">
        <is>
          <t>Cluster branching adds aggregate edge or cutset</t>
        </is>
      </c>
      <c r="F33" s="10" t="inlineStr">
        <is>
          <t>[§5.1 第8段 第2句] Cluster branching adds aggregate edge or cutset choices, but the tested system retains complete original branching types because the cluster candidates alone are insufficient (Silva et al., 2025).</t>
        </is>
      </c>
      <c r="G33" s="10" t="inlineStr">
        <is>
          <t>S034 Silva et al., 2025</t>
        </is>
      </c>
      <c r="H33" s="10" t="inlineStr">
        <is>
          <t>确认 Silva 2025：簇分支（cluster branching）增加了聚合的边或割集选择，但测试的系统保留了完整的原始分支类型，因为只用簇候选是不够的。</t>
        </is>
      </c>
      <c r="I33" s="10" t="inlineStr">
        <is>
          <t>Silva et al., 2025：02_参考文献/论文全文/S034_Silva_2025.pdf</t>
        </is>
      </c>
      <c r="J33" s="10" t="inlineStr">
        <is>
          <t>E-B-S034-01：PDFpp3–4, §1 and Table1;pp6–7, §3（关键词匹配，仅供参考）</t>
        </is>
      </c>
      <c r="K33" s="10" t="inlineStr">
        <is>
          <t>2_TableA1核对 S034-M1</t>
        </is>
      </c>
      <c r="L33" s="12" t="inlineStr"/>
      <c r="M33" s="12" t="inlineStr"/>
      <c r="N33" s="12" t="inlineStr"/>
      <c r="O33" s="12" t="inlineStr"/>
      <c r="P33" s="12" t="inlineStr"/>
      <c r="Q33" s="12" t="inlineStr"/>
    </row>
    <row r="34">
      <c r="A34" s="9" t="inlineStr">
        <is>
          <t>必核</t>
        </is>
      </c>
      <c r="B34" s="10" t="inlineStr">
        <is>
          <t>TX033</t>
        </is>
      </c>
      <c r="C34" s="10" t="inlineStr">
        <is>
          <t>事实</t>
        </is>
      </c>
      <c r="D34" s="10" t="inlineStr">
        <is>
          <t>§5.1 第8段 第6句</t>
        </is>
      </c>
      <c r="E34" s="10" t="inlineStr">
        <is>
          <t>Classical diving with residual-master reoptimization, limited discrepancy</t>
        </is>
      </c>
      <c r="F34" s="10" t="inlineStr">
        <is>
          <t>[§5.1 第8段 第6句] Classical diving with residual-master reoptimization, limited discrepancy search and strong diving supports incumbent construction rather than shorter proofs (Sadykov et al., 2019), and is the natural traditional comparator for learned dives.</t>
        </is>
      </c>
      <c r="G34" s="10" t="inlineStr">
        <is>
          <t>S105 Sadykov et al., 2019</t>
        </is>
      </c>
      <c r="H34" s="10" t="inlineStr">
        <is>
          <t>确认 Sadykov 2019：经典潜水（diving）包括剩余主问题重优化、有限偏差搜索（limited discrepancy search）和强潜水（strong diving），作用是构造可行解（incumbent）而不是缩短最优性证明。逐页证据在 5_S105证据核对。</t>
        </is>
      </c>
      <c r="I34" s="10" t="inlineStr">
        <is>
          <t>Sadykov et al., 2019：90_过程归档/大修_v1.5/fulltext/Sadykov/PDFs/Primal_Heuristics_for_Branch_and_Price.pdf</t>
        </is>
      </c>
      <c r="J34" s="10" t="inlineStr">
        <is>
          <t>S105-C3：Section 6.2; Table 8（关键词匹配，仅供参考）</t>
        </is>
      </c>
      <c r="K34" s="10" t="inlineStr">
        <is>
          <t>5_S105证据核对</t>
        </is>
      </c>
      <c r="L34" s="12" t="inlineStr"/>
      <c r="M34" s="12" t="inlineStr"/>
      <c r="N34" s="12" t="inlineStr"/>
      <c r="O34" s="12" t="inlineStr"/>
      <c r="P34" s="12" t="inlineStr"/>
      <c r="Q34" s="12" t="inlineStr"/>
    </row>
    <row r="35">
      <c r="A35" s="13" t="inlineStr">
        <is>
          <t>建议核</t>
        </is>
      </c>
      <c r="B35" s="10" t="inlineStr">
        <is>
          <t>TX034</t>
        </is>
      </c>
      <c r="C35" s="10" t="inlineStr">
        <is>
          <t>背景</t>
        </is>
      </c>
      <c r="D35" s="10" t="inlineStr">
        <is>
          <t>§5.2 第1段 第3句</t>
        </is>
      </c>
      <c r="E35" s="10" t="inlineStr">
        <is>
          <t>Penalties, smoothing and interior-point selection address this</t>
        </is>
      </c>
      <c r="F35" s="10" t="inlineStr">
        <is>
          <t>[§5.2 第1段 第3句] Penalties, smoothing and interior-point selection address this issue through different mathematical mechanisms (du Merle et al., 1999; Gondzio et al., 2013; Rousseau et al., 2007).</t>
        </is>
      </c>
      <c r="G35" s="10" t="inlineStr">
        <is>
          <t>S023 du Merle et al., 1999；S041 Gondzio et al., 2013；S025 Rousseau et al., 2007</t>
        </is>
      </c>
      <c r="H35" s="10" t="inlineStr">
        <is>
          <t>确认惩罚（du Merle）、平滑和内点选择（Gondzio；Rousseau）通过不同数学机制处理退化问题。</t>
        </is>
      </c>
      <c r="I35" s="10" t="inlineStr">
        <is>
          <t>du Merle et al., 1999：02_参考文献/论文全文/S023_Merle_1999.pdf
Gondzio et al., 2013：02_参考文献/论文全文/S041_Gondzio_2013.pdf
Rousseau et al., 2007：02_参考文献/论文全文/S025_Rousseau_2007.pdf</t>
        </is>
      </c>
      <c r="J35" s="10" t="inlineStr">
        <is>
          <t>未自动匹配到对应记录；数据包中有 S023 4 条、S025 4 条、S041 6 条证据记录（data/release_1_2/evidence.csv，按 study_id 筛选）</t>
        </is>
      </c>
      <c r="K35" s="10" t="inlineStr"/>
      <c r="L35" s="12" t="inlineStr"/>
      <c r="M35" s="12" t="inlineStr"/>
      <c r="N35" s="12" t="inlineStr"/>
      <c r="O35" s="12" t="inlineStr"/>
      <c r="P35" s="12" t="inlineStr"/>
      <c r="Q35" s="12" t="inlineStr"/>
    </row>
    <row r="36" ht="257" customHeight="1">
      <c r="A36" s="13" t="inlineStr">
        <is>
          <t>建议核</t>
        </is>
      </c>
      <c r="B36" s="10" t="inlineStr">
        <is>
          <t>TX035</t>
        </is>
      </c>
      <c r="C36" s="10" t="inlineStr">
        <is>
          <t>事实</t>
        </is>
      </c>
      <c r="D36" s="10" t="inlineStr">
        <is>
          <t>§5.2 第2段 第1–2句</t>
        </is>
      </c>
      <c r="E36" s="10" t="inlineStr">
        <is>
          <t>The classical alternatives include smoothing toward an</t>
        </is>
      </c>
      <c r="F36" s="10" t="inlineStr">
        <is>
          <t>[§5.2 第2段 第1–2句] The classical alternatives include smoothing toward an incumbent dual, proximal trust-region and analytic-centre stabilization, primal–dual column generation, dual cuts that restrict the dual space without changing the optimum, and comparisons of bundle methods with standard CG (Ben Amor and Desrosiers, 2006; Briant et al., 2008; Gondzio et al., 2013; Gschwind and Irnich, 2016; Karimi and Seifi, 2015; Valério de Carvalho, 2005; Wentges, 1997). The trust-region, analytic-centre and extra-dual-cut studies were identified but not coded (Section 2.1).</t>
        </is>
      </c>
      <c r="G36" s="10" t="inlineStr">
        <is>
          <t>Wentges, 1997；Ben Amor and Desrosiers, 2006；Karimi and Seifi, 2015；S041 Gondzio et al., 2013；Valério de Carvalho, 2005；S047 Gschwind and Irnich, 2016；Briant et al., 2008</t>
        </is>
      </c>
      <c r="H36" s="10" t="inlineStr">
        <is>
          <t>经典稳定化方法清单：向现有对偶平滑（Wentges 1997）、近端信赖域（Ben Amor &amp; Desrosiers 2006）、解析中心（Karimi &amp; Seifi 2015）、原始–对偶 CG（Gondzio 2013）、不改变最优值的对偶割（Valério de Carvalho 2005；Gschwind &amp; Irnich 2016）、束方法与标准 CG 的比较（Briant 2008）。多数原文未获取，按 DOI 核对标题和摘要即可。§5.2 第2段第2句（“The trust-region, analytic-centre and extra-dual-cut studies…”）说信赖域、解析中心和额外对偶割三篇“已识别但未编码”，与 9_S1线索核对 的 CL006、CL007、CL010 对应。</t>
        </is>
      </c>
      <c r="I36" s="10" t="inlineStr">
        <is>
          <t>Wentges, 1997：未获取原文：按 DOI 打开出版社页面或摘要核对
Ben Amor and Desrosiers, 2006：未获取原文：按 DOI 打开出版社页面或摘要核对
Karimi and Seifi, 2015：未获取原文：按 DOI 打开出版社页面或摘要核对
Gondzio et al., 2013：02_参考文献/论文全文/S041_Gondzio_2013.pdf
Valério de Carvalho, 2005：未获取原文：按 DOI 打开出版社页面或摘要核对
Gschwind and Irnich, 2016：02_参考文献/论文全文/S047_Gschwind_2016.pdf
Briant et al., 2008：未获取原文：按 DOI 打开出版社页面或摘要核对</t>
        </is>
      </c>
      <c r="J36" s="10" t="inlineStr">
        <is>
          <t>E-T-S041-01：PDF pp.3–5, printed43–45, Definition1, Propositions3.1–3.3, Algorithm1（关键词匹配，仅供参考）</t>
        </is>
      </c>
      <c r="K36" s="10" t="inlineStr">
        <is>
          <t>9_S1线索核对 CL006/CL007/CL010</t>
        </is>
      </c>
      <c r="L36" s="12" t="inlineStr"/>
      <c r="M36" s="12" t="str">
        <v>无法判断</v>
      </c>
      <c r="N36" s="12" t="str">
        <v>D121 原文依据（稿件定位摘录）：未确定。未取得足以支持具体断言的原始全文时，先撤下该断言的确定性表达；是否移除引用另作建议。
D121 PDF S041: 3–5
S047: 3–4, 12, 20
不适用（网页）
不适用（网页）
不适用（网页）
不适用（网页）
不适用（网页）；§3 Primal–dual column generation
§2; §4.2; §6
出版社标题/摘要及DOI注册元数据；2026-10-15核查
出版社标题/摘要及DOI注册元数据；2026-10-15核查；https://www.tandfonline.com/doi/abs/10.1080/10556788.2015.1025134
出版社标题/摘要及DOI注册元数据；2026-10-15核查；https://pubsonline.informs.org/doi/10.1287/ijoc.1030.0060
出版社标题/摘要及DOI注册元数据；2026-10-15核查；https://link.springer.com/article/10.1007/s10107-006-0079-z
出版社标题/摘要及DOI注册元数据；2026-10-15核查；https://onlinelibrary.wiley.com/doi/10.1111/j.1475-3995.1997.tb00071.x</v>
      </c>
      <c r="O36" s="12" t="str">
        <v>已落实于 v1.8 稿件。
The classical alternatives include smoothing toward an incumbent dual, proximal trust-region and analytic-centre stabilization, primal–dual column generation, dual cuts that restrict the dual space without changing the optimum, and comparisons of bundle methods with standard CG (Ben Amor and Desrosiers, 2006; Briant et al., 2008; Gondzio et al., 2013; Gschwind and Irnich, 2016; Karimi and Seifi, 2015; Valério de Carvalho, 2005; Wentges, 1997). The studies by Ben Amor and Desrosiers (2006), Karimi and Seifi (2015), and Valério de Carvalho (2005) were identified but not coded (Section 2.1). Their role here is historical context supported by the accessed author abstracts, not a source for unverified proofs or numerical results. The accessible extended in-out separation report explains both Wentges smoothing and Neame's historical averaging rule, including a practical return to unsmoothed pricing after a bounded mispricing sequence (Pessoa et al., 2013). The original Neame thesis was not retrieved, so its role is described through that identified source. The later automation study combines these ideas with directional smoothing and penalty stabilization (Pessoa et al., 2018). These are substantive baselines for learning a center or update policy.</v>
      </c>
      <c r="P36" s="12" t="str">
        <v>Codex（依据作者裁决）</v>
      </c>
      <c r="Q36" s="12" t="str">
        <v>2026-10-15</v>
      </c>
    </row>
    <row r="37">
      <c r="A37" s="9" t="inlineStr">
        <is>
          <t>必核</t>
        </is>
      </c>
      <c r="B37" s="10" t="inlineStr">
        <is>
          <t>TX036</t>
        </is>
      </c>
      <c r="C37" s="10" t="inlineStr">
        <is>
          <t>事实</t>
        </is>
      </c>
      <c r="D37" s="10" t="inlineStr">
        <is>
          <t>§5.2 第2段 第3–4句；§A.3 第2段 第1–2句</t>
        </is>
      </c>
      <c r="E37" s="10" t="inlineStr">
        <is>
          <t>The accessible extended in-out separation report explains</t>
        </is>
      </c>
      <c r="F37" s="10" t="inlineStr">
        <is>
          <t>[§5.2 第2段 第3–4句] The accessible extended in-out separation report explains both Wentges smoothing and Neame's historical averaging rule, including a practical return to unsmoothed pricing after a bounded mispricing sequence (Pessoa et al., 2013). The original Neame thesis was not retrieved, so its role is described through that identified source.
[§A.3 第2段 第1–2句] Neame’s Nonsmooth Dual Methods in Integer Programming is discussed through the accessed 2013 report, which cites a 1999 thesis. The original thesis and its authoritative catalog record were not obtained, so the thesis is cited indirectly through that report.</t>
        </is>
      </c>
      <c r="G37" s="10" t="inlineStr">
        <is>
          <t>Pessoa et al., 2013</t>
        </is>
      </c>
      <c r="H37" s="10" t="inlineStr">
        <is>
          <t>确认 Pessoa et al. (2013) HAL 扩展报告解释了 Wentges 平滑和 Neame 的历史平均规则，并包含“有限次误定价（mispricing）后回到不平滑定价”的做法；该报告引用了 Neame 1999 年的博士论文。论文原件未获取，正文通过该报告间接引用——请确认这一表述准确。</t>
        </is>
      </c>
      <c r="I37" s="10" t="inlineStr">
        <is>
          <t>Pessoa et al., 2013：90_过程归档/大修_v1.5/fulltext/Pessoa/PDFs/In-Out_Separation_and_Column_Generation_Stabilization_by_Dual_Price_Smoothing.pdf</t>
        </is>
      </c>
      <c r="J37" s="10" t="inlineStr">
        <is>
          <t>E-T-S018-01：PDF pp6–10, §§2–4, Table1; printed343–347（关键词匹配，仅供参考）</t>
        </is>
      </c>
      <c r="K37" s="10" t="inlineStr"/>
      <c r="L37" s="12" t="inlineStr"/>
      <c r="M37" s="12" t="inlineStr"/>
      <c r="N37" s="12" t="inlineStr"/>
      <c r="O37" s="12" t="inlineStr"/>
      <c r="P37" s="12" t="inlineStr"/>
      <c r="Q37" s="12" t="inlineStr"/>
    </row>
    <row r="38">
      <c r="A38" s="9" t="inlineStr">
        <is>
          <t>必核</t>
        </is>
      </c>
      <c r="B38" s="10" t="inlineStr">
        <is>
          <t>TX037</t>
        </is>
      </c>
      <c r="C38" s="10" t="inlineStr">
        <is>
          <t>事实</t>
        </is>
      </c>
      <c r="D38" s="10" t="inlineStr">
        <is>
          <t>§5.2 第2段 第5句；§5.2 第8段 第2句</t>
        </is>
      </c>
      <c r="E38" s="10" t="inlineStr">
        <is>
          <t>The later automation study combines these ideas</t>
        </is>
      </c>
      <c r="F38" s="10" t="inlineStr">
        <is>
          <t>[§5.2 第2段 第5句] The later automation study combines these ideas with directional smoothing and penalty stabilization (Pessoa et al., 2018).
[§5.2 第8段 第2句] Classical adaptive smoothing already responds to mispricing and can revert to the unmodified dual in finitely many steps (Pessoa et al., 2018).</t>
        </is>
      </c>
      <c r="G38" s="10" t="inlineStr">
        <is>
          <t>S018 Pessoa et al., 2018</t>
        </is>
      </c>
      <c r="H38" s="10" t="inlineStr">
        <is>
          <t>确认 Pessoa 2018：自动化研究把平滑、方向平滑（directional smoothing）和惩罚稳定化结合起来；经典自适应平滑会对误定价作出反应，并能在有限步内回到未修改的对偶。</t>
        </is>
      </c>
      <c r="I38" s="10" t="inlineStr">
        <is>
          <t>Pessoa et al., 2018：02_参考文献/论文全文/S018_Pessoa_2018.pdf</t>
        </is>
      </c>
      <c r="J38" s="10" t="inlineStr">
        <is>
          <t>E-T-S018-01：PDF pp6–10, §§2–4, Table1; printed343–347（关键词匹配，仅供参考）</t>
        </is>
      </c>
      <c r="K38" s="10" t="inlineStr">
        <is>
          <t>2_TableA1核对 S018-M1</t>
        </is>
      </c>
      <c r="L38" s="12" t="inlineStr"/>
      <c r="M38" s="12" t="inlineStr"/>
      <c r="N38" s="12" t="inlineStr"/>
      <c r="O38" s="12" t="inlineStr"/>
      <c r="P38" s="12" t="inlineStr"/>
      <c r="Q38" s="12" t="inlineStr"/>
    </row>
    <row r="39">
      <c r="A39" s="9" t="inlineStr">
        <is>
          <t>必核</t>
        </is>
      </c>
      <c r="B39" s="10" t="inlineStr">
        <is>
          <t>TX038</t>
        </is>
      </c>
      <c r="C39" s="10" t="inlineStr">
        <is>
          <t>公式</t>
        </is>
      </c>
      <c r="D39" s="10" t="inlineStr">
        <is>
          <t>§5.2 第3段 第1句；§5.2 Eq. (7)；§5.2 第4段；§5.2 Eq. (8)；§5.2 第5段</t>
        </is>
      </c>
      <c r="E39" s="10" t="inlineStr">
        <is>
          <t>The three-piece penalty formulation of du Merle</t>
        </is>
      </c>
      <c r="F39" s="10" t="inlineStr">
        <is>
          <t>[§5.2 第3段 第1句] The three-piece penalty formulation of du Merle and colleagues makes the learning interface explicit.
[§5.2 Eq. (7)] Eq. (7)（公式，见 Word 原稿）
[§5.2 第4段] Eliminating the auxiliary dual variables gives
[§5.2 Eq. (8)] Eq. (8)（公式，见 Word 原稿）
[§5.2 第5段] where the positive-part operator is [u]+ = max{0, u}. These equations express the full-column problem; CG enforces its column constraints incrementally. A predictor can choose the reference interval, for example around a learned center, or control the perturbation caps that become penalty slopes in Eq. (8). Neither output is itself a dual certificate. If the optimal stabilized solution has zero perturbations and its dual passes full pricing, primal and dual feasibility recover the original optimum. Taking the caps to zero also restores the unperturbed primal. An intermediate restricted stabilized objective cannot be used as if that recovery had already occurred (du Merle et al., 1999).</t>
        </is>
      </c>
      <c r="G39" s="10" t="inlineStr">
        <is>
          <t>S023 du Merle et al., 1999</t>
        </is>
      </c>
      <c r="H39" s="10" t="inlineStr">
        <is>
          <t>du Merle 三段惩罚稳定化。Eq. (7)：min cᵀλ − (δ⁻)ᵀy⁻ + (δ⁺)ᵀy⁺，s.t. Aλ − y⁻ + y⁺ = b，λ ≥ 0，0 ≤ y^± ≤ ε^±；Eq. (8)：max bᵀπ − Σᵢ εᵢ⁻[δᵢ⁻ − πᵢ]₊ − Σᵢ εᵢ⁺[πᵢ − δᵢ⁺]₊，s.t. Aᵀπ ≤ c。符号：δ⁻、δ⁺ = 对偶参考区间的下、上界；ε⁻、ε⁺ = 扰动上限（在 Eq. (8) 中成为惩罚斜率）；y⁻、y⁺ = 扰动变量；[u]₊ = max{0, u}。请对照 du Merle et al. (1999) 原文公式确认符号和方向一致；并确认 §5.2 第5段第7句（“An intermediate restricted stabilized objective cannot…”）“中间的受限稳定化目标不能当作已经恢复”有原文依据。</t>
        </is>
      </c>
      <c r="I39" s="10" t="inlineStr">
        <is>
          <t>du Merle et al., 1999：02_参考文献/论文全文/S023_Merle_1999.pdf</t>
        </is>
      </c>
      <c r="J39" s="10" t="inlineStr">
        <is>
          <t>不适用</t>
        </is>
      </c>
      <c r="K39" s="10" t="inlineStr"/>
      <c r="L39" s="12" t="inlineStr"/>
      <c r="M39" s="12" t="inlineStr"/>
      <c r="N39" s="12" t="inlineStr"/>
      <c r="O39" s="12" t="inlineStr"/>
      <c r="P39" s="12" t="inlineStr"/>
      <c r="Q39" s="12" t="inlineStr"/>
    </row>
    <row r="40">
      <c r="A40" s="9" t="inlineStr">
        <is>
          <t>必核</t>
        </is>
      </c>
      <c r="B40" s="10" t="inlineStr">
        <is>
          <t>TX039</t>
        </is>
      </c>
      <c r="C40" s="10" t="inlineStr">
        <is>
          <t>事实</t>
        </is>
      </c>
      <c r="D40" s="10" t="inlineStr">
        <is>
          <t>§5.2 第7段 第2–4句；§7.4 第1段 第4句</t>
        </is>
      </c>
      <c r="E40" s="10" t="inlineStr">
        <is>
          <t>Predicted duals initialize centers in cutting stock</t>
        </is>
      </c>
      <c r="F40" s="10" t="inlineStr">
        <is>
          <t>[§5.2 第7段 第2–4句] Predicted duals initialize centers in cutting stock and scheduling, while demand-based predictions initialize proximal methods for unit commitment (Kraul et al., 2023; Sarkar et al., 2025; Sugishita et al., 2024). In the latter setting, valid single-generator pricing produces the Lagrangian bound at the predicted multipliers. The prediction guides where to start; pricing supplies the bound.
[§7.4 第1段 第4句] Unit-commitment warm starts, for example, exploit repeated demand scenarios on the same generator fleet; this is a different generalization claim from a new network topology (Sugishita et al., 2024).</t>
        </is>
      </c>
      <c r="G40" s="10" t="inlineStr">
        <is>
          <t>S056 Kraul et al., 2023；S070 Sarkar et al., 2025；S079 Sugishita et al., 2024</t>
        </is>
      </c>
      <c r="H40" s="10" t="inlineStr">
        <is>
          <t>确认：Kraul 2023（切割下料）和 Sarkar 2025（排程）用预测的对偶初始化稳定中心；Sugishita 2024 用基于需求的预测初始化机组组合（unit commitment）的近端方法；在机组组合中，有效的单机组定价在预测乘子处给出拉格朗日界；Sugishita 的训练与测试使用同一机组集合、不同需求场景。</t>
        </is>
      </c>
      <c r="I40" s="10" t="inlineStr">
        <is>
          <t>Kraul et al., 2023：02_参考文献/论文全文/S056_Kraul_2023.pdf
Sarkar et al., 2025：02_参考文献/论文全文/S070_Sarkar_2025.pdf
Sugishita et al., 2024：02_参考文献/论文全文/S079_Sugishita_2024.pdf</t>
        </is>
      </c>
      <c r="J40" s="10" t="inlineStr">
        <is>
          <t>E-A-S070-04：PDF p.11 §5.2.6 Table7; p.5 Proposition3.0.1/Corollary3.0.1（关键词匹配，仅供参考）
E-A-S056-01：PDF p7 §3.1 equations5; p8 §3.2.1; p16 §4.3.1（关键词匹配，仅供参考）</t>
        </is>
      </c>
      <c r="K40" s="10" t="inlineStr">
        <is>
          <t>2_TableA1核对 S056、S070、S079</t>
        </is>
      </c>
      <c r="L40" s="12" t="inlineStr"/>
      <c r="M40" s="12" t="inlineStr"/>
      <c r="N40" s="12" t="inlineStr"/>
      <c r="O40" s="12" t="inlineStr"/>
      <c r="P40" s="12" t="inlineStr"/>
      <c r="Q40" s="12" t="inlineStr"/>
    </row>
    <row r="41">
      <c r="A41" s="9" t="inlineStr">
        <is>
          <t>必核</t>
        </is>
      </c>
      <c r="B41" s="10" t="inlineStr">
        <is>
          <t>TX040</t>
        </is>
      </c>
      <c r="C41" s="10" t="inlineStr">
        <is>
          <t>事实</t>
        </is>
      </c>
      <c r="D41" s="10" t="inlineStr">
        <is>
          <t>§5.2 第7段 第5句</t>
        </is>
      </c>
      <c r="E41" s="10" t="inlineStr">
        <is>
          <t>Predictive dual smoothing instead learns from a</t>
        </is>
      </c>
      <c r="F41" s="10" t="inlineStr">
        <is>
          <t>[§5.2 第7段 第5句] Predictive dual smoothing instead learns from a trajectory, tests proposed columns against the actual current dual, and invokes unsmoothed exact pricing after proposal failure (Berden et al., 2026).</t>
        </is>
      </c>
      <c r="G41" s="10" t="inlineStr">
        <is>
          <t>S067 Berden et al., 2026</t>
        </is>
      </c>
      <c r="H41" s="10" t="inlineStr">
        <is>
          <t>确认 Berden 2026（预印本）预测对偶平滑：从对偶轨迹学习；提议的列按当前实际对偶检验；提议失败后调用未平滑的精确定价。</t>
        </is>
      </c>
      <c r="I41" s="10" t="inlineStr">
        <is>
          <t>Berden et al., 2026：02_参考文献/论文全文/S067_Berden_2026.pdf</t>
        </is>
      </c>
      <c r="J41" s="10" t="inlineStr">
        <is>
          <t>未自动匹配到对应记录；数据包中有 S067 4 条证据记录（data/release_1_2/evidence.csv，按 study_id 筛选）</t>
        </is>
      </c>
      <c r="K41" s="10" t="inlineStr">
        <is>
          <t>2_TableA1核对 S067-M1</t>
        </is>
      </c>
      <c r="L41" s="12" t="inlineStr"/>
      <c r="M41" s="12" t="inlineStr"/>
      <c r="N41" s="12" t="inlineStr"/>
      <c r="O41" s="12" t="inlineStr"/>
      <c r="P41" s="12" t="inlineStr"/>
      <c r="Q41" s="12" t="inlineStr"/>
    </row>
    <row r="42">
      <c r="A42" s="9" t="inlineStr">
        <is>
          <t>必核</t>
        </is>
      </c>
      <c r="B42" s="10" t="inlineStr">
        <is>
          <t>TX041</t>
        </is>
      </c>
      <c r="C42" s="10" t="inlineStr">
        <is>
          <t>事实</t>
        </is>
      </c>
      <c r="D42" s="10" t="inlineStr">
        <is>
          <t>§5.2 第8段 第3–5句；§7.2 第2段 第6句</t>
        </is>
      </c>
      <c r="E42" s="10" t="inlineStr">
        <is>
          <t>Learned policies retain analogous safeguards through parameter</t>
        </is>
      </c>
      <c r="F42" s="10" t="inlineStr">
        <is>
          <t>[§5.2 第8段 第3–5句] Learned policies retain analogous safeguards through parameter restrictions, penalty reduction or reference realignment (Shen et al., 2024; Wang and Khir, 2026). Their performance target should include pricing difficulty, not only the number of master iterations. Reported cutting-stock cases in which fewer iterations coexist with longer runtime demonstrate the difference (Wang and Khir, 2026).
[§7.2 第2段 第6句] Iteration savings alone remain insufficient when stabilization makes pricing harder (Shen et al., 2024; Wang and Khir, 2026).</t>
        </is>
      </c>
      <c r="G42" s="10" t="inlineStr">
        <is>
          <t>S075 Shen et al., 2024；S063 Wang and Khir, 2026</t>
        </is>
      </c>
      <c r="H42" s="10" t="inlineStr">
        <is>
          <t>确认 Shen 2024 和 Wang &amp; Khir 2026 的学习策略保留了类似的安全措施（参数限制、惩罚降低或参考点重新对齐）；Wang &amp; Khir 报告了切割下料中“迭代次数减少但运行时间更长”的案例——请找到该案例并记下表号和页码。</t>
        </is>
      </c>
      <c r="I42" s="10" t="inlineStr">
        <is>
          <t>Shen et al., 2024：02_参考文献/论文全文/S075_Shen_2024.pdf
Wang and Khir, 2026：02_参考文献/论文全文/S063_Wang_2026.pdf</t>
        </is>
      </c>
      <c r="J42" s="10" t="inlineStr">
        <is>
          <t>E-A-S063-01：PDF pp.6–8 §3, p.24 Proof 5; pp.10–11 §4.2.2; p.15 §5.4（关键词匹配，仅供参考）
E-B-S075-01：PDF pp4–6 Algorithm1,Eq15,Theorem3.2,Lemma3.5;pp12–14 AppendixC（关键词匹配，仅供参考）</t>
        </is>
      </c>
      <c r="K42" s="10" t="inlineStr">
        <is>
          <t>2_TableA1核对 S063、S075</t>
        </is>
      </c>
      <c r="L42" s="12" t="inlineStr"/>
      <c r="M42" s="12" t="inlineStr"/>
      <c r="N42" s="12" t="inlineStr"/>
      <c r="O42" s="12" t="inlineStr"/>
      <c r="P42" s="12" t="inlineStr"/>
      <c r="Q42" s="12" t="inlineStr"/>
    </row>
    <row r="43">
      <c r="A43" s="9" t="inlineStr">
        <is>
          <t>必核</t>
        </is>
      </c>
      <c r="B43" s="10" t="inlineStr">
        <is>
          <t>TX042</t>
        </is>
      </c>
      <c r="C43" s="10" t="inlineStr">
        <is>
          <t>事实</t>
        </is>
      </c>
      <c r="D43" s="10" t="inlineStr">
        <is>
          <t>§5.2 第9段 第2–4句</t>
        </is>
      </c>
      <c r="E43" s="10" t="inlineStr">
        <is>
          <t>Neural column generation for capacitated routing selects</t>
        </is>
      </c>
      <c r="F43" s="10" t="inlineStr">
        <is>
          <t>[§5.2 第9段 第2–4句] Neural column generation for capacitated routing selects the objective of a quadratic program over the optimal RMP dual face (Babaki et al., 2022). The optimization layer ensures membership in that face; the network chooses a useful point within it. Its experiments identify iteration savings and also the expense of the differentiable optimization layer.</t>
        </is>
      </c>
      <c r="G43" s="10" t="inlineStr">
        <is>
          <t>S082 Babaki et al., 2022</t>
        </is>
      </c>
      <c r="H43" s="10" t="inlineStr">
        <is>
          <t>确认 Babaki 2022（神经列生成，带容量路径问题）：在最优 RMP 对偶面上选择一个二次规划的目标；优化层保证解属于该对偶面，网络在面上选一个有用的点；实验同时显示迭代节省和可微优化层的开销。</t>
        </is>
      </c>
      <c r="I43" s="10" t="inlineStr">
        <is>
          <t>Babaki et al., 2022：02_参考文献/论文全文/S082_Babaki_UNVERIFIED.pdf</t>
        </is>
      </c>
      <c r="J43" s="10" t="inlineStr">
        <is>
          <t>未自动匹配到对应记录；数据包中有 S082 3 条证据记录（data/release_1_2/evidence.csv，按 study_id 筛选）</t>
        </is>
      </c>
      <c r="K43" s="10" t="inlineStr">
        <is>
          <t>2_TableA1核对 S082-M1</t>
        </is>
      </c>
      <c r="L43" s="12" t="inlineStr"/>
      <c r="M43" s="12" t="inlineStr"/>
      <c r="N43" s="12" t="inlineStr"/>
      <c r="O43" s="12" t="inlineStr"/>
      <c r="P43" s="12" t="inlineStr"/>
      <c r="Q43" s="12" t="inlineStr"/>
    </row>
    <row r="44">
      <c r="A44" s="9" t="inlineStr">
        <is>
          <t>必核</t>
        </is>
      </c>
      <c r="B44" s="10" t="inlineStr">
        <is>
          <t>TX043</t>
        </is>
      </c>
      <c r="C44" s="10" t="inlineStr">
        <is>
          <t>公式</t>
        </is>
      </c>
      <c r="D44" s="10" t="inlineStr">
        <is>
          <t>§5.2 第10段 第1句；§5.2 Eq. (9)；§5.2 第11段；§5.2 第12段</t>
        </is>
      </c>
      <c r="E44" s="10" t="inlineStr">
        <is>
          <t>Learned pairwise dual inequalities expose the cost</t>
        </is>
      </c>
      <c r="F44" s="10" t="inlineStr">
        <is>
          <t>[§5.2 第10段 第1句] Learned pairwise dual inequalities expose the cost of recovery particularly clearly (You et al., 2026a).
[§5.2 Eq. (9)] Eq. (9)（公式，见 Word 原稿）
[§5.2 第11段] Each added inequality is πᵢ ≤ πⱼ; its primal counterpart is a zero-cost artificial column. The dual restriction gives a potentially weaker bound after full pricing, even if the predictions do not preserve an original dual optimum. Original LP recovery needs more. Zero artificial activity at an optimum gives an original primal solution matching the valid dual bound. Alternatively, releasing offending inequalities and repeating exact CG eventually reaches the original system if at least one remaining restriction is removed at each unsuccessful recovery round. A numerical threshold and a checked baseline objective establish only the reported numerical accuracy.
[§5.2 第12段] The direct and recovered variants answer different questions. The first trades bound strength for speed; the second targets the baseline LP bound and must include recovery. They are coded G4 and G2 respectively, with the relaxation mechanism retained as secondary for the recovered version. Appendix C preserves the preprint's numerical illustration separately from the main comparative evidence (Ben Amor et al., 2006; Gschwind and Irnich, 2016; You et al., 2026a).</t>
        </is>
      </c>
      <c r="G44" s="10" t="inlineStr">
        <is>
          <t>S066 You et al., 2026a</t>
        </is>
      </c>
      <c r="H44" s="10" t="inlineStr">
        <is>
          <t>You 2026a（预印本）学习的成对对偶不等式。Eq. (9)：min{cᵀλ : Aλ + By = b, λ, y ≥ 0} ⟷ max{bᵀπ : Aᵀπ ≤ c, Bᵀπ ≤ 0}，B 的列为 eᵢ − eⱼ（每列对应一条 πᵢ ≤ πⱼ，原始侧是零成本人工列）。核对：①直接版本（S066-M1）完全定价后给出可能较弱但有效的界 → G4；②恢复版本（S066-M2）释放违反的不等式并重复精确 CG 以恢复原 LP → 主 G2、次 G4；③“数值阈值和已检查的基准目标值只说明所报告的数值精度”。</t>
        </is>
      </c>
      <c r="I44" s="10" t="inlineStr">
        <is>
          <t>You et al., 2026a：02_参考文献/论文全文/S066_You_2026.pdf</t>
        </is>
      </c>
      <c r="J44" s="10" t="inlineStr">
        <is>
          <t>不适用</t>
        </is>
      </c>
      <c r="K44" s="10" t="inlineStr">
        <is>
          <t>1_27个案例裁决 / 2_TableA1核对 S066-M1~M3</t>
        </is>
      </c>
      <c r="L44" s="12" t="inlineStr"/>
      <c r="M44" s="12" t="inlineStr"/>
      <c r="N44" s="12" t="inlineStr"/>
      <c r="O44" s="12" t="inlineStr"/>
      <c r="P44" s="12" t="inlineStr"/>
      <c r="Q44" s="12" t="inlineStr"/>
    </row>
    <row r="45">
      <c r="A45" s="9" t="inlineStr">
        <is>
          <t>必核</t>
        </is>
      </c>
      <c r="B45" s="10" t="inlineStr">
        <is>
          <t>TX044</t>
        </is>
      </c>
      <c r="C45" s="10" t="inlineStr">
        <is>
          <t>事实</t>
        </is>
      </c>
      <c r="D45" s="10" t="inlineStr">
        <is>
          <t>§5.2 第13段 第2–4句</t>
        </is>
      </c>
      <c r="E45" s="10" t="inlineStr">
        <is>
          <t>Learned operator selection can build initial columns</t>
        </is>
      </c>
      <c r="F45" s="10" t="inlineStr">
        <is>
          <t>[§5.2 第13段 第2–4句] Learned operator selection can build initial columns before ordinary CG, as in operating-room scheduling (Dolatkhah et al., 2026). Keeping unrestricted pricing preserves access to missing columns. The studied large-instance procedure nevertheless combines time-limited CG with integer RMP recovery, so its reported endpoint is a feasible schedule rather than a complete integer proof.</t>
        </is>
      </c>
      <c r="G45" s="10" t="inlineStr">
        <is>
          <t>S084 Dolatkhah et al., 2026</t>
        </is>
      </c>
      <c r="H45" s="10" t="inlineStr">
        <is>
          <t>确认 Dolatkhah 2026（手术室排程）：学习的算子选择在普通 CG 之前构造初始列；保留不受限的定价；大规模算例的流程把限时 CG 与整数 RMP 恢复结合，终点是可行排程，不是完整的整数最优证明。</t>
        </is>
      </c>
      <c r="I45" s="10" t="inlineStr">
        <is>
          <t>Dolatkhah et al., 2026：02_参考文献/论文全文/S084_Dolatkhah_2026.pdf</t>
        </is>
      </c>
      <c r="J45" s="10" t="inlineStr">
        <is>
          <t>E-B-S084-01：PDF pp12–14 §§6.2–6.3; Appendix2 pp37–40 and Appendix4 pp41–42（关键词匹配，仅供参考）</t>
        </is>
      </c>
      <c r="K45" s="10" t="inlineStr">
        <is>
          <t>2_TableA1核对 S084-M1/M2</t>
        </is>
      </c>
      <c r="L45" s="12" t="inlineStr"/>
      <c r="M45" s="12" t="inlineStr"/>
      <c r="N45" s="12" t="inlineStr"/>
      <c r="O45" s="12" t="inlineStr"/>
      <c r="P45" s="12" t="inlineStr"/>
      <c r="Q45" s="12" t="inlineStr"/>
    </row>
    <row r="46">
      <c r="A46" s="13" t="inlineStr">
        <is>
          <t>建议核</t>
        </is>
      </c>
      <c r="B46" s="10" t="inlineStr">
        <is>
          <t>TX045</t>
        </is>
      </c>
      <c r="C46" s="10" t="inlineStr">
        <is>
          <t>背景</t>
        </is>
      </c>
      <c r="D46" s="10" t="inlineStr">
        <is>
          <t>§5.3 第1段 第3句</t>
        </is>
      </c>
      <c r="E46" s="10" t="inlineStr">
        <is>
          <t>These choices spend a budget on whole</t>
        </is>
      </c>
      <c r="F46" s="10" t="inlineStr">
        <is>
          <t>[§5.3 第1段 第3句] These choices spend a budget on whole pricing calls, not on labels within a call (Baldacci et al., 2011; Desaulniers et al., 2008; Koutecká et al., 2025; Shan et al., 2026).</t>
        </is>
      </c>
      <c r="G46" s="10" t="inlineStr">
        <is>
          <t>S027 Baldacci et al., 2011；S017 Desaulniers et al., 2008；S058 Koutecká et al., 2025；S091 Shan et al., 2026</t>
        </is>
      </c>
      <c r="H46" s="10" t="inlineStr">
        <is>
          <t>确认这四篇的选择针对“整个定价调用”的预算，而不是单次调用内部的标签。</t>
        </is>
      </c>
      <c r="I46" s="10" t="inlineStr">
        <is>
          <t>Baldacci et al., 2011：02_参考文献/论文全文/S027_Baldacci_2011.pdf
Desaulniers et al., 2008：02_参考文献/论文全文/S017_Desaulniers_2008.pdf
Koutecká et al., 2025：02_参考文献/论文全文/S058_Koutecka_2025.pdf
Shan et al., 2026：02_参考文献/论文全文/S091_Shan_2026.pdf</t>
        </is>
      </c>
      <c r="J46" s="10" t="inlineStr">
        <is>
          <t>未自动匹配到对应记录；数据包中有 S017 6 条、S027 7 条、S058 5 条、S091 6 条证据记录（data/release_1_2/evidence.csv，按 study_id 筛选）</t>
        </is>
      </c>
      <c r="K46" s="10" t="inlineStr"/>
      <c r="L46" s="12" t="inlineStr"/>
      <c r="M46" s="12" t="inlineStr"/>
      <c r="N46" s="12" t="inlineStr"/>
      <c r="O46" s="12" t="inlineStr"/>
      <c r="P46" s="12" t="inlineStr"/>
      <c r="Q46" s="12" t="inlineStr"/>
    </row>
    <row r="47">
      <c r="A47" s="9" t="inlineStr">
        <is>
          <t>必核</t>
        </is>
      </c>
      <c r="B47" s="10" t="inlineStr">
        <is>
          <t>TX046</t>
        </is>
      </c>
      <c r="C47" s="10" t="inlineStr">
        <is>
          <t>编码</t>
        </is>
      </c>
      <c r="D47" s="10" t="inlineStr">
        <is>
          <t>§5.3 第2段 第2–5句；§B.2 第2段 第3句</t>
        </is>
      </c>
      <c r="E47" s="10" t="inlineStr">
        <is>
          <t>Quesnel and colleagues restrict the pairing choices</t>
        </is>
      </c>
      <c r="F47" s="10" t="inlineStr">
        <is>
          <t>[§5.3 第2段 第2–5句] Quesnel and colleagues restrict the pairing choices inside crew-pricing subproblems, then use progressively larger fractions in a diving framework (Quesnel et al., 2022). Its primary layer is L4 because the admissible content of each subproblem changes. It has a secondary L3 role in the phased pricing procedure. The maximum-fraction-one variant permits complete pricing, whereas a fixed smaller maximum does not.
[§B.2 第2段 第3句] S051's pairing-domain restriction is L4 despite the source term partial pricing; L3 is secondary for its phased use.</t>
        </is>
      </c>
      <c r="G47" s="10" t="inlineStr">
        <is>
          <t>S051 Quesnel et al., 2022</t>
        </is>
      </c>
      <c r="H47" s="10" t="inlineStr">
        <is>
          <t>确认 Quesnel 2022（机组排班）：限制定价子问题内部的配对选择，然后在潜水框架中逐步使用更大的比例；主层 L4（子问题允许的内容改变），次层 L3（分阶段定价）；最大比例 = 1 的变体允许完整定价，固定的较小最大比例则不能。原文自称 partial pricing，本文仍编为 L4。</t>
        </is>
      </c>
      <c r="I47" s="10" t="inlineStr">
        <is>
          <t>Quesnel et al., 2022：02_参考文献/论文全文/S051_Quesnel_2022.pdf</t>
        </is>
      </c>
      <c r="J47" s="10" t="inlineStr">
        <is>
          <t>未自动匹配到对应记录；数据包中有 S051 6 条证据记录（data/release_1_2/evidence.csv，按 study_id 筛选）</t>
        </is>
      </c>
      <c r="K47" s="10" t="inlineStr">
        <is>
          <t>2_TableA1核对 S051-M1~M3</t>
        </is>
      </c>
      <c r="L47" s="12" t="inlineStr"/>
      <c r="M47" s="12" t="inlineStr"/>
      <c r="N47" s="12" t="inlineStr"/>
      <c r="O47" s="12" t="inlineStr"/>
      <c r="P47" s="12" t="inlineStr"/>
      <c r="Q47" s="12" t="inlineStr"/>
    </row>
    <row r="48">
      <c r="A48" s="9" t="inlineStr">
        <is>
          <t>必核</t>
        </is>
      </c>
      <c r="B48" s="10" t="inlineStr">
        <is>
          <t>TX047</t>
        </is>
      </c>
      <c r="C48" s="10" t="inlineStr">
        <is>
          <t>事实</t>
        </is>
      </c>
      <c r="D48" s="10" t="inlineStr">
        <is>
          <t>§5.3 第3段 第3句；§6.2 第2段 第5句</t>
        </is>
      </c>
      <c r="E48" s="10" t="inlineStr">
        <is>
          <t>A safe subproblem filter instead combines a</t>
        </is>
      </c>
      <c r="F48" s="10" t="inlineStr">
        <is>
          <t>[§5.3 第3段 第3句] A safe subproblem filter instead combines a previously certified pricing minimum with a bound on the effect of the dual change (Bulaich Mehamdi et al., 2025).
[§6.2 第2段 第5句] Certified subproblem filters can justify reuse under quantified dual changes; otherwise coverage must be renewed (Bulaich Mehamdi et al., 2025; Shan et al., 2026).</t>
        </is>
      </c>
      <c r="G48" s="10" t="inlineStr">
        <is>
          <t>S032 Bulaich Mehamdi et al., 2025；S091 Shan et al., 2026</t>
        </is>
      </c>
      <c r="H48" s="10" t="inlineStr">
        <is>
          <t>确认 Bulaich Mehamdi 2025 的安全子问题过滤：结合此前已认证的定价最小值和对偶变化影响的界；在量化的对偶变化下可以复用，否则需要重新覆盖。§6.2 第2段第5句（“Certified subproblem filters can justify reuse…”）同时引用 Shan 2026，确认该文也有相应内容。</t>
        </is>
      </c>
      <c r="I48" s="10" t="inlineStr">
        <is>
          <t>Bulaich Mehamdi et al., 2025：02_参考文献/论文全文/S032_Mehamdi_2025.pdf
Shan et al., 2026：02_参考文献/论文全文/S091_Shan_2026.pdf</t>
        </is>
      </c>
      <c r="J48" s="10" t="inlineStr">
        <is>
          <t>未自动匹配到对应记录；数据包中有 S032 6 条、S091 6 条证据记录（data/release_1_2/evidence.csv，按 study_id 筛选）</t>
        </is>
      </c>
      <c r="K48" s="10" t="inlineStr">
        <is>
          <t>2_TableA1核对 S032-M1/M2</t>
        </is>
      </c>
      <c r="L48" s="12" t="inlineStr"/>
      <c r="M48" s="12" t="inlineStr"/>
      <c r="N48" s="12" t="inlineStr"/>
      <c r="O48" s="12" t="inlineStr"/>
      <c r="P48" s="12" t="inlineStr"/>
      <c r="Q48" s="12" t="inlineStr"/>
    </row>
    <row r="49">
      <c r="A49" s="15" t="inlineStr">
        <is>
          <t>已在其他表核对</t>
        </is>
      </c>
      <c r="B49" s="15" t="inlineStr">
        <is>
          <t>TX048</t>
        </is>
      </c>
      <c r="C49" s="15" t="inlineStr">
        <is>
          <t>数值</t>
        </is>
      </c>
      <c r="D49" s="15" t="inlineStr">
        <is>
          <t>§5.3 第4段 第2–4句</t>
        </is>
      </c>
      <c r="E49" s="15" t="inlineStr">
        <is>
          <t>In one nine-instance, five-day operating-room setting with</t>
        </is>
      </c>
      <c r="F49" s="15" t="inlineStr">
        <is>
          <t>[§5.3 第4段 第2–4句] In one nine-instance, five-day operating-room setting with a single-call batch, learned ordering reduces mean pricing calls from 3923 to 2950 but increases mean runtime from 1916 to 2087 s; all nine instances finish within four hours (Koutecká et al., 2025). Other configurations favor learning. The finding is sensitivity to call cost and batch size, not a general rejection of learned scheduling.</t>
        </is>
      </c>
      <c r="G49" s="15" t="inlineStr">
        <is>
          <t>S058 Koutecká et al., 2025</t>
        </is>
      </c>
      <c r="H49" s="15" t="inlineStr">
        <is>
          <t>与 Table 4 第6行一致：9 个五天手术室算例，k = 1（这里 k 指每轮在 k 个成功的定价问题后停止，见证据 E-A-S058-01）；平均定价调用 3923（随机顺序）→ 2950（学习顺序）；平均运行时间 1916 → 2087 s（学习更慢）；9 个都在 4 小时内完成。“其他配置有利于学习”需在原文 §6.3 找到依据。</t>
        </is>
      </c>
      <c r="I49" s="15" t="inlineStr">
        <is>
          <t>Koutecká et al., 2025：02_参考文献/论文全文/S058_Koutecka_2025.pdf</t>
        </is>
      </c>
      <c r="J49" s="15" t="inlineStr">
        <is>
          <t>E-A-S058-03：PDF pp11–12 §6.3 Table4（数字匹配）</t>
        </is>
      </c>
      <c r="K49" s="15" t="inlineStr">
        <is>
          <t>3_Table4核对 第6行</t>
        </is>
      </c>
      <c r="L49" s="15" t="inlineStr"/>
      <c r="M49" s="15" t="inlineStr"/>
      <c r="N49" s="15" t="inlineStr"/>
      <c r="O49" s="15" t="inlineStr"/>
      <c r="P49" s="15" t="inlineStr"/>
      <c r="Q49" s="15" t="inlineStr"/>
    </row>
    <row r="50">
      <c r="A50" s="9" t="inlineStr">
        <is>
          <t>必核</t>
        </is>
      </c>
      <c r="B50" s="10" t="inlineStr">
        <is>
          <t>TX049</t>
        </is>
      </c>
      <c r="C50" s="10" t="inlineStr">
        <is>
          <t>访问</t>
        </is>
      </c>
      <c r="D50" s="10" t="inlineStr">
        <is>
          <t>§5.3 第4段 第5句；§7.2 第3段 第5句；§A.3 第2段 第3句</t>
        </is>
      </c>
      <c r="E50" s="10" t="inlineStr">
        <is>
          <t>A depot-pricing preprint targets downstream fixed-row CG</t>
        </is>
      </c>
      <c r="F50" s="10" t="inlineStr">
        <is>
          <t>[§5.3 第4段 第5句] A depot-pricing preprint targets downstream fixed-row CG closure cost instead of immediate column yield, but its detailed full-policy tree comparisons are in an unavailable supplement (Shan et al., 2026).
[§7.2 第3段 第5句] The available depot-ranking preprint proposes a longer-horizon target but does not settle the missing complete-policy timing comparison (Shan et al., 2026).
[§A.3 第2段 第3句] The public SSRN pages and repository leads for the Shan and Chen preprints were checked without obtaining their external supplements; the main PDFs remain the reading basis.</t>
        </is>
      </c>
      <c r="G50" s="10" t="inlineStr">
        <is>
          <t>S091 Shan et al., 2026</t>
        </is>
      </c>
      <c r="H50" s="10" t="inlineStr">
        <is>
          <t>确认 Shan 2026（预印本，仓库/站点定价）：目标是下游固定行 CG 闭合成本，而不是即时的列产出；详细的完整策略树比较在外部补充材料中，未能获取（只检查了 SSRN 页面）。</t>
        </is>
      </c>
      <c r="I50" s="10" t="inlineStr">
        <is>
          <t>Shan et al., 2026：02_参考文献/论文全文/S091_Shan_2026.pdf</t>
        </is>
      </c>
      <c r="J50" s="10" t="inlineStr">
        <is>
          <t>E-R-S091-01：PDF pp. 23–27, Sections 6.3.1–6.3.5, Algorithm 2（关键词匹配，仅供参考）
E-R-S091-04：PDF p. 29, Section 7.1; pp. 31–32, Section 7.4（关键词匹配，仅供参考）</t>
        </is>
      </c>
      <c r="K50" s="10" t="inlineStr"/>
      <c r="L50" s="12" t="inlineStr"/>
      <c r="M50" s="12" t="inlineStr"/>
      <c r="N50" s="12" t="inlineStr"/>
      <c r="O50" s="12" t="inlineStr"/>
      <c r="P50" s="12" t="inlineStr"/>
      <c r="Q50" s="12" t="inlineStr"/>
    </row>
    <row r="51">
      <c r="A51" s="9" t="inlineStr">
        <is>
          <t>必核</t>
        </is>
      </c>
      <c r="B51" s="10" t="inlineStr">
        <is>
          <t>TX050</t>
        </is>
      </c>
      <c r="C51" s="10" t="inlineStr">
        <is>
          <t>事实</t>
        </is>
      </c>
      <c r="D51" s="10" t="inlineStr">
        <is>
          <t>§5.3 第5段 第2–5句；§6.3 第3段 第2–4句</t>
        </is>
      </c>
      <c r="E51" s="10" t="inlineStr">
        <is>
          <t>In deterministic unit commitment, CSDW-S successively uses</t>
        </is>
      </c>
      <c r="F51" s="10" t="inlineStr">
        <is>
          <t>[§5.3 第5段 第2–5句] In deterministic unit commitment, CSDW-S successively uses a period-separable envelope, a ramp-relaxed dynamic program and exact mixed-integer pricing (Zhang et al., 2026). Closure uses compatible lower endpoints at the raw, unstabilized master dual. Relaxed optimizers are bound witnesses and need not be legal columns. As Section 7 shows, this mathematically useful reduction in exact calls does not automatically reduce time.
[§6.3 第3段 第2–4句] The unit-commitment certificate requires a one-sided RMP error budget and trusted pricing lower endpoints at the same raw dual (Zhang et al., 2026). Setting a solver tolerance is not itself proof that this error budget holds. The source distinguishes zero-tolerance finite termination from positive-tolerance validity for the nodes and trees that actually resolve.</t>
        </is>
      </c>
      <c r="G51" s="10" t="inlineStr">
        <is>
          <t>S102 Zhang et al., 2026</t>
        </is>
      </c>
      <c r="H51" s="10" t="inlineStr">
        <is>
          <t>确认 Zhang 2026（确定性机组组合，CSDW-S）：依次使用时段可分包络、斜坡松弛动态规划和精确混合整数定价；闭合在原始未稳定的主问题对偶上使用兼容的下端点；松弛问题的最优解只是界的见证，不必是合法列；§6.3 第3段（“Numerical safeguards can be substantive. The…”）：证书需要单边的 RMP 误差预算和同一原始对偶下可信的定价下端点；设置求解器容差本身不证明误差预算成立；原文区分零容差有限终止与正容差下实际解决的节点和树的有效性。</t>
        </is>
      </c>
      <c r="I51" s="10" t="inlineStr">
        <is>
          <t>Zhang et al., 2026：02_参考文献/论文全文/CL002_Zhang_2026.pdf</t>
        </is>
      </c>
      <c r="J51" s="10" t="inlineStr">
        <is>
          <t>E-U-S102-05：PDF pp12–14 Proposition4 Eq19, Proposition5 Eq20, Theorem4 and Remark3（关键词匹配，仅供参考）
E-U-S102-01：PDF pp8–11 §3.2 Eq10–16; Assumption1; Proposition2; p16 Algorithm1（关键词匹配，仅供参考）</t>
        </is>
      </c>
      <c r="K51" s="10" t="inlineStr">
        <is>
          <t>2_TableA1核对 S102-M1~M3</t>
        </is>
      </c>
      <c r="L51" s="12" t="inlineStr"/>
      <c r="M51" s="12" t="inlineStr"/>
      <c r="N51" s="12" t="inlineStr"/>
      <c r="O51" s="12" t="inlineStr"/>
      <c r="P51" s="12" t="inlineStr"/>
      <c r="Q51" s="12" t="inlineStr"/>
    </row>
    <row r="52">
      <c r="A52" s="9" t="inlineStr">
        <is>
          <t>必核</t>
        </is>
      </c>
      <c r="B52" s="10" t="inlineStr">
        <is>
          <t>TX051</t>
        </is>
      </c>
      <c r="C52" s="10" t="inlineStr">
        <is>
          <t>事实</t>
        </is>
      </c>
      <c r="D52" s="10" t="inlineStr">
        <is>
          <t>§5.3 第6段 第1–2句</t>
        </is>
      </c>
      <c r="E52" s="10" t="inlineStr">
        <is>
          <t>Learned hyper-heuristics choose among proposal routines using</t>
        </is>
      </c>
      <c r="F52" s="10" t="inlineStr">
        <is>
          <t>[§5.3 第6段 第1–2句] Learned hyper-heuristics choose among proposal routines using recent success and CG state (Xu et al., 2025). Full-domain fallback can protect LP closure, but the final integer RMP remains a heuristic.</t>
        </is>
      </c>
      <c r="G52" s="10" t="inlineStr">
        <is>
          <t>S060 Xu et al., 2025</t>
        </is>
      </c>
      <c r="H52" s="10" t="inlineStr">
        <is>
          <t>确认 Xu 2025：学习的超启发式根据近期成功率和 CG 状态在提议程序之间选择；全网络回退可以保护 LP 闭合，但最终的整数 RMP 仍是启发式。</t>
        </is>
      </c>
      <c r="I52" s="10" t="inlineStr">
        <is>
          <t>Xu et al., 2025：02_参考文献/论文全文/S060_Xu_2025.pdf</t>
        </is>
      </c>
      <c r="J52" s="10" t="inlineStr">
        <is>
          <t>未自动匹配到对应记录；数据包中有 S060 4 条证据记录（data/release_1_2/evidence.csv，按 study_id 筛选）</t>
        </is>
      </c>
      <c r="K52" s="10" t="inlineStr">
        <is>
          <t>2_TableA1核对 S060-M1/M2</t>
        </is>
      </c>
      <c r="L52" s="12" t="inlineStr"/>
      <c r="M52" s="12" t="inlineStr"/>
      <c r="N52" s="12" t="inlineStr"/>
      <c r="O52" s="12" t="inlineStr"/>
      <c r="P52" s="12" t="inlineStr"/>
      <c r="Q52" s="12" t="inlineStr"/>
    </row>
    <row r="53">
      <c r="A53" s="13" t="inlineStr">
        <is>
          <t>建议核</t>
        </is>
      </c>
      <c r="B53" s="10" t="inlineStr">
        <is>
          <t>TX052</t>
        </is>
      </c>
      <c r="C53" s="10" t="inlineStr">
        <is>
          <t>事实</t>
        </is>
      </c>
      <c r="D53" s="10" t="inlineStr">
        <is>
          <t>§5.3 第6段 第3句</t>
        </is>
      </c>
      <c r="E53" s="10" t="inlineStr">
        <is>
          <t>Traditional grouped pricing for technician routing has</t>
        </is>
      </c>
      <c r="F53" s="10" t="inlineStr">
        <is>
          <t>[§5.3 第6段 第3句] Traditional grouped pricing for technician routing has the same distinction between CG and integer recovery (Dupin et al., 2021).</t>
        </is>
      </c>
      <c r="G53" s="10" t="inlineStr">
        <is>
          <t>S101 Dupin et al., 2021</t>
        </is>
      </c>
      <c r="H53" s="10" t="inlineStr">
        <is>
          <t>确认 Dupin 2021（技术员路径的分组定价）同样存在 CG 与整数恢复之间的区分。</t>
        </is>
      </c>
      <c r="I53" s="10" t="inlineStr">
        <is>
          <t>Dupin et al., 2021：02_参考文献/论文全文/S101_Dupin_2021.pdf</t>
        </is>
      </c>
      <c r="J53" s="10" t="inlineStr">
        <is>
          <t>E-R-S101-01：PDF pp15–20, Algorithms5–8, Sections5.2–5.5（数字匹配）
E-R-S101-02：PDF pp20–23, Sections5.6–5.9（关键词匹配，仅供参考）</t>
        </is>
      </c>
      <c r="K53" s="10" t="inlineStr">
        <is>
          <t>2_TableA1核对 S101-M1</t>
        </is>
      </c>
      <c r="L53" s="12" t="inlineStr"/>
      <c r="M53" s="12" t="inlineStr"/>
      <c r="N53" s="12" t="inlineStr"/>
      <c r="O53" s="12" t="inlineStr"/>
      <c r="P53" s="12" t="inlineStr"/>
      <c r="Q53" s="12" t="inlineStr"/>
    </row>
    <row r="54">
      <c r="A54" s="9" t="inlineStr">
        <is>
          <t>必核</t>
        </is>
      </c>
      <c r="B54" s="10" t="inlineStr">
        <is>
          <t>TX053</t>
        </is>
      </c>
      <c r="C54" s="10" t="inlineStr">
        <is>
          <t>公式</t>
        </is>
      </c>
      <c r="D54" s="10" t="inlineStr">
        <is>
          <t>§5.4 第1段；§5.4 第2段；§5.4 Eq. (10)；§5.4 第3段</t>
        </is>
      </c>
      <c r="E54" s="10" t="inlineStr">
        <is>
          <t>Safe deletion and predicted restriction can remove</t>
        </is>
      </c>
      <c r="F54" s="10" t="inlineStr">
        <is>
          <t>[§5.4 第1段] Safe deletion and predicted restriction can remove the same arc in code. They differ in what justifies its absence.
[§5.4 第2段] For elementary shortest-path pricing with time windows and capacity, a simple label at endpoint v is (g, t, q, S): accumulated reduced cost, arrival time, load and visited set. With waiting allowed, nonnegative demand, monotone resource extensions and no omitted branch or cut state, a sufficient dominance relation for two labels at the same endpoint is
[§5.4 Eq. (10)] Eq. (10)（公式，见 Word 原稿）
[§5.4 第3段] Every elementary suffix feasible after label 2 avoids S₂ and thus avoids S₁. The first label can wait to meet the same time windows, has at least as much residual capacity, and incurs no greater prefix cost. Extending both by that suffix proves continuation coverage at no greater completed cost. Extra resources, path-dependent costs and active cuts can require additional state or stronger tests (Di Puglia Pugliese and Guerriero, 2013; Feillet et al., 2004; Gschwind and Irnich, 2015).</t>
        </is>
      </c>
      <c r="G54" s="10" t="inlineStr">
        <is>
          <t>S026 Feillet et al., 2004；S013 Di Puglia Pugliese and Guerriero, 2013；S028 Gschwind and Irnich, 2015</t>
        </is>
      </c>
      <c r="H54" s="10" t="inlineStr">
        <is>
          <t>Eq. (10) 支配关系。标签 (g, t, q, S) = (累计约化成本, 到达时间, 载重, 已访问集合)。同一端点上标签 1 支配标签 2 的充分条件：g₁ ≤ g₂，t₁ ≤ t₂，q₁ ≤ q₂，S₁ ⊆ S₂（前提：允许等待、需求非负、资源扩展单调、没有省略的分支或割状态）。验算推理：标签 2 之后可行的每个初等后缀都避开 S₂，因而也避开 S₁；标签 1 可以等待以满足同样的时间窗，剩余容量不少，前缀成本不更高。§5.4 第3段第4句（“Extra resources, path-dependent costs and active…”）：确认三篇文献说明额外资源、路径相关成本和活跃割需要额外状态或更强的检验。</t>
        </is>
      </c>
      <c r="I54" s="10" t="inlineStr">
        <is>
          <t>Feillet et al., 2004：02_参考文献/论文全文/S026_Feillet_2004.pdf
Di Puglia Pugliese and Guerriero, 2013：02_参考文献/论文全文/ 中以 S013_ 开头的文件
Gschwind and Irnich, 2015：02_参考文献/论文全文/S028_Gschwind_2015.pdf</t>
        </is>
      </c>
      <c r="J54" s="10" t="inlineStr">
        <is>
          <t>不适用</t>
        </is>
      </c>
      <c r="K54" s="10" t="inlineStr"/>
      <c r="L54" s="12" t="inlineStr"/>
      <c r="M54" s="12" t="inlineStr"/>
      <c r="N54" s="12" t="inlineStr"/>
      <c r="O54" s="12" t="inlineStr"/>
      <c r="P54" s="12" t="inlineStr"/>
      <c r="Q54" s="12" t="inlineStr"/>
    </row>
    <row r="55" ht="114" customHeight="1">
      <c r="A55" s="9" t="inlineStr">
        <is>
          <t>必核</t>
        </is>
      </c>
      <c r="B55" s="10" t="inlineStr">
        <is>
          <t>TX054</t>
        </is>
      </c>
      <c r="C55" s="10" t="inlineStr">
        <is>
          <t>事实</t>
        </is>
      </c>
      <c r="D55" s="10" t="inlineStr">
        <is>
          <t>§5.4 第4段 第5句</t>
        </is>
      </c>
      <c r="E55" s="10" t="inlineStr">
        <is>
          <t>Partial dominance extends the classical argument by</t>
        </is>
      </c>
      <c r="F55" s="10" t="inlineStr">
        <is>
          <t>[§5.4 第4段 第5句] Partial dominance extends the classical argument by combining several labels to cover a resource tradeoff, but must cover every relevant continuation (Basso and Salani, 2026; Faldum et al., 2024).</t>
        </is>
      </c>
      <c r="G55" s="10" t="inlineStr">
        <is>
          <t>S031 Faldum et al., 2024；S064 Basso and Salani, 2026</t>
        </is>
      </c>
      <c r="H55" s="10" t="inlineStr">
        <is>
          <t>确认 Faldum 2024 的部分支配（partial dominance）组合多个标签来覆盖资源权衡，并且必须覆盖每个相关延续；确认 Basso &amp; Salani 2026（预印本）与此相关的内容。</t>
        </is>
      </c>
      <c r="I55" s="10" t="inlineStr">
        <is>
          <t>Faldum et al., 2024：02_参考文献/论文全文/S031_Faldum_2024.pdf
Basso and Salani, 2026：02_参考文献/论文全文/S064_Basso_2026.pdf</t>
        </is>
      </c>
      <c r="J55" s="10" t="inlineStr">
        <is>
          <t>E-T-S031-01：PDF pp2–3 Propositions1–2;pp7–13§3.1,DC1–DC4,eq3;printed1064–1075（关键词匹配，仅供参考）
E-T-S031-05：PDF pp31–32 Appendix Tables4–6;printed1093–1094（关键词匹配，仅供参考）</t>
        </is>
      </c>
      <c r="K55" s="10" t="inlineStr">
        <is>
          <t>2_TableA1核对 S031-M1、S064-M1</t>
        </is>
      </c>
      <c r="L55" s="12" t="inlineStr"/>
      <c r="M55" s="12" t="str">
        <v>需修改</v>
      </c>
      <c r="N55" s="12" t="str">
        <v>按裁决表文献取舍建议及 codex_辅助记录.xlsx 中本编号原文依据执行；仅修改断言或对应引用，不删除整篇文献。</v>
      </c>
      <c r="O55" s="12" t="str">
        <v>已落实于 v1.8 稿件。
A classifier score is not a proof of these inequalities or of an alternative coverage relation. A false dominance prediction can discard the only improving continuation. A classifier can still assist an exact algorithm by proposing comparisons that are then verified, ordering valid tests, or retaining rejected states for complete recovery. The obstacle is unchecked rejection, not machine learning as a class of tools. Partial dominance extends the classical argument by combining several labels to cover a resource tradeoff, but must cover every relevant continuation (Faldum et al., 2024).</v>
      </c>
      <c r="P55" s="12" t="str">
        <v>Codex（依据作者裁决）</v>
      </c>
      <c r="Q55" s="12" t="str">
        <v>2026-10-15</v>
      </c>
    </row>
    <row r="56">
      <c r="A56" s="9" t="inlineStr">
        <is>
          <t>必核</t>
        </is>
      </c>
      <c r="B56" s="10" t="inlineStr">
        <is>
          <t>TX055</t>
        </is>
      </c>
      <c r="C56" s="10" t="inlineStr">
        <is>
          <t>公式</t>
        </is>
      </c>
      <c r="D56" s="10" t="inlineStr">
        <is>
          <t>§5.4 第5段；§5.4 Eq. (11)；§5.4 第6段</t>
        </is>
      </c>
      <c r="E56" s="10" t="inlineStr">
        <is>
          <t>Completion bounds give a second sufficient deletion</t>
        </is>
      </c>
      <c r="F56" s="10" t="inlineStr">
        <is>
          <t>[§5.4 第5段] Completion bounds give a second sufficient deletion rule. Let J(e) be the legal routes containing arc e, and let L(e) be a valid lower bound for their reduced costs at the current dual. Then
[§5.4 Eq. (11)] Eq. (11)（公式，见 Word 原稿）
[§5.4 第6段] The bound may combine a prefix cost with an admissible suffix relaxation. It must account for all resources and active rows relevant to the claim. In the two-customer example, a certified bound for either intercustomer arc cannot be positive enough to justify deleting its improving route. A predictor that nevertheless removes both arcs is performing restriction and needs G2 recovery. Eq. (11) is a pricing rule; permanent integer-variable fixing additionally requires an incumbent argument, as in Section 5.6.</t>
        </is>
      </c>
      <c r="G56" s="10" t="inlineStr"/>
      <c r="H56" s="10" t="inlineStr">
        <is>
          <t>Eq. (11) 完成界删除规则：L(e) ≤ min_{r∈J(e)} c̄_r(π) 且 L(e) ≥ 0 ⟹ 没有需要弧 e 的负约化成本路线。符号：J(e) = 含弧 e 的合法路线集合；L(e) = 这些路线在当前对偶下约化成本的有效下界。验算 §5.4 第6段（“The bound may combine a prefix…”）：两客户例子中，含客户间弧的路线约化成本为 −3，任何有效下界 L(e) ≤ −3 &lt; 0，不能据此删除。</t>
        </is>
      </c>
      <c r="I56" s="10" t="inlineStr">
        <is>
          <t>不需要原文（本文自己的推导、计数或你本人的陈述）</t>
        </is>
      </c>
      <c r="J56" s="10" t="inlineStr">
        <is>
          <t>不适用</t>
        </is>
      </c>
      <c r="K56" s="10" t="inlineStr"/>
      <c r="L56" s="12" t="inlineStr"/>
      <c r="M56" s="12" t="inlineStr"/>
      <c r="N56" s="12" t="inlineStr"/>
      <c r="O56" s="12" t="inlineStr"/>
      <c r="P56" s="12" t="inlineStr"/>
      <c r="Q56" s="12" t="inlineStr"/>
    </row>
    <row r="57" ht="114" customHeight="1">
      <c r="A57" s="9" t="inlineStr">
        <is>
          <t>必核</t>
        </is>
      </c>
      <c r="B57" s="10" t="inlineStr">
        <is>
          <t>TX056</t>
        </is>
      </c>
      <c r="C57" s="10" t="inlineStr">
        <is>
          <t>事实</t>
        </is>
      </c>
      <c r="D57" s="10" t="inlineStr">
        <is>
          <t>§5.4 第7段 第1–4句；§6.4 第2段 第3句</t>
        </is>
      </c>
      <c r="E57" s="10" t="inlineStr">
        <is>
          <t>The preprocessed labeling algorithm (PLA) first obtains</t>
        </is>
      </c>
      <c r="F57" s="10" t="inlineStr">
        <is>
          <t>[§5.4 第7段 第1–4句] The preprocessed labeling algorithm (PLA) first obtains a feasible path incumbent with a compact branch-and-cut model, then uses completion bounds and dominance to reduce search (Chen et al., 2026). Its named LearningStrategy is deterministic and does not train a model. It is supporting E1 evidence on perturbed constrained-path instances, including negative costs, rather than evidence of faster CG. Some completion-bound details depend on prior work and an unavailable supplement, which limits independent assessment of those implementation conditions.
[§6.4 第2段 第3句] An unavailable proof supplement leaves a particular condition unverified; it does not demonstrate an incorrect algorithm (Chen et al., 2026; Núñez Ares et al., 2016).</t>
        </is>
      </c>
      <c r="G57" s="10" t="inlineStr">
        <is>
          <t>S103 Chen et al., 2026</t>
        </is>
      </c>
      <c r="H57" s="10" t="inlineStr">
        <is>
          <t>确认 Chen 2026（预印本，PLA）：先用紧凑的分支切割模型得到可行路径的现有解，再用完成界和支配减少搜索；名为 LearningStrategy 的部分是确定性的，不训练模型；证据是扰动的约束路径实例（含负成本），属于 E1；部分完成界细节依赖先前工作和无法获取的补充材料。</t>
        </is>
      </c>
      <c r="I57" s="10" t="inlineStr">
        <is>
          <t>Chen et al., 2026：02_参考文献/论文全文/CL014_Chen_2026.pdf</t>
        </is>
      </c>
      <c r="J57" s="10" t="inlineStr">
        <is>
          <t>E-U-S103-02：PDF pp.4–5 §2; pp.17–19 §4.3（关键词匹配，仅供参考）
E-U-S103-03：PDF pp.12–14 §4.1–4.2.1, Algorithm 1; pp.22–24 §5.3（关键词匹配，仅供参考）</t>
        </is>
      </c>
      <c r="K57" s="10" t="inlineStr">
        <is>
          <t>2_TableA1核对 S103-M1~M4</t>
        </is>
      </c>
      <c r="L57" s="12" t="inlineStr"/>
      <c r="M57" s="12" t="str">
        <v>需修改</v>
      </c>
      <c r="N57" s="12" t="str">
        <v>D002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
D002 PDF 4;7–8;10;13–14；§5.3–6.5;Algorithm1;Table4;AppendixC</v>
      </c>
      <c r="O57" s="12" t="str">
        <v>已落实于 v1.8 稿件。
G5 denotes an explicitly heuristic target. A permanent graph restriction, bounded beam or learned stopping decision without recovery has no established complete certificate for the original domain (Abouelrous et al., 2025b; Gao et al., 2025; Jin and Yu, 2023). For Núñez Ares et al. (2016), Appendix C is available in the accessed report, but the certificate derivation and its use in the stopping rule remain unresolved. This does not establish an implementation error. Figure 3 maps the recorded combinations of guarantee and evidence scope. It describes this sample of method variants, without estimating the prevalence of methods in the field.</v>
      </c>
      <c r="P57" s="12" t="str">
        <v>Codex（依据作者裁决）</v>
      </c>
      <c r="Q57" s="12" t="str">
        <v>2026-10-15</v>
      </c>
    </row>
    <row r="58">
      <c r="A58" s="9" t="inlineStr">
        <is>
          <t>必核</t>
        </is>
      </c>
      <c r="B58" s="10" t="inlineStr">
        <is>
          <t>TX057</t>
        </is>
      </c>
      <c r="C58" s="10" t="inlineStr">
        <is>
          <t>事实</t>
        </is>
      </c>
      <c r="D58" s="10" t="inlineStr">
        <is>
          <t>§5.4 第8段 第1句</t>
        </is>
      </c>
      <c r="E58" s="10" t="inlineStr">
        <is>
          <t>Classical path-reduced-cost elimination already uses route-wide cost</t>
        </is>
      </c>
      <c r="F58" s="10" t="inlineStr">
        <is>
          <t>[§5.4 第8段 第1句] Classical path-reduced-cost elimination already uses route-wide cost information to remove arcs in BPC (Irnich et al., 2010).</t>
        </is>
      </c>
      <c r="G58" s="10" t="inlineStr">
        <is>
          <t>S044 Irnich et al., 2010</t>
        </is>
      </c>
      <c r="H58" s="10" t="inlineStr">
        <is>
          <t>确认 Irnich 2010 的路径约化成本消去：在 BPC 中利用整条路线的成本信息删除弧。</t>
        </is>
      </c>
      <c r="I58" s="10" t="inlineStr">
        <is>
          <t>Irnich et al., 2010：02_参考文献/论文全文/S044_Irnich_2010.pdf</t>
        </is>
      </c>
      <c r="J58" s="10" t="inlineStr">
        <is>
          <t>未自动匹配到对应记录；数据包中有 S044 6 条证据记录（data/release_1_2/evidence.csv，按 study_id 筛选）</t>
        </is>
      </c>
      <c r="K58" s="10" t="inlineStr">
        <is>
          <t>2_TableA1核对 S044-M1</t>
        </is>
      </c>
      <c r="L58" s="12" t="inlineStr"/>
      <c r="M58" s="12" t="inlineStr"/>
      <c r="N58" s="12" t="inlineStr"/>
      <c r="O58" s="12" t="inlineStr"/>
      <c r="P58" s="12" t="inlineStr"/>
      <c r="Q58" s="12" t="inlineStr"/>
    </row>
    <row r="59">
      <c r="A59" s="9" t="inlineStr">
        <is>
          <t>必核</t>
        </is>
      </c>
      <c r="B59" s="10" t="inlineStr">
        <is>
          <t>TX058</t>
        </is>
      </c>
      <c r="C59" s="10" t="inlineStr">
        <is>
          <t>编码</t>
        </is>
      </c>
      <c r="D59" s="10" t="inlineStr">
        <is>
          <t>§5.4 第8段 第2–3句；§B.2 第2段 第4句</t>
        </is>
      </c>
      <c r="E59" s="10" t="inlineStr">
        <is>
          <t>Two-arc fixing extends the controlled object to</t>
        </is>
      </c>
      <c r="F59" s="10" t="inlineStr">
        <is>
          <t>[§5.4 第8段 第2–3句] Two-arc fixing extends the controlled object to arc sequences (Desaulniers et al., 2020). Both are L4 operations because their exclusions affect the implicit route universe before column generation.
[§B.2 第2段 第4句] S045's two-arc fixing is L4 because it removes implicit routes through arc-sequence exclusions.</t>
        </is>
      </c>
      <c r="G59" s="10" t="inlineStr">
        <is>
          <t>S045 Desaulniers et al., 2020</t>
        </is>
      </c>
      <c r="H59" s="10" t="inlineStr">
        <is>
          <t>确认 Desaulniers 2020 的两弧固定（two-arc fixing）把控制对象扩展到弧序列；属于 L4，因为它在 CG 之前改变隐式路线集合。</t>
        </is>
      </c>
      <c r="I59" s="10" t="inlineStr">
        <is>
          <t>Desaulniers et al., 2020：02_参考文献/论文全文/S045_Desaulniers_2020.pdf</t>
        </is>
      </c>
      <c r="J59" s="10" t="inlineStr">
        <is>
          <t>E-B-S045-01：PDF pp. 3–7, Proposition 1, (1)–(4), Rules 1–3（关键词匹配，仅供参考）</t>
        </is>
      </c>
      <c r="K59" s="10" t="inlineStr">
        <is>
          <t>2_TableA1核对 S045-M1</t>
        </is>
      </c>
      <c r="L59" s="12" t="inlineStr"/>
      <c r="M59" s="12" t="inlineStr"/>
      <c r="N59" s="12" t="inlineStr"/>
      <c r="O59" s="12" t="inlineStr"/>
      <c r="P59" s="12" t="inlineStr"/>
      <c r="Q59" s="12" t="inlineStr"/>
    </row>
    <row r="60">
      <c r="A60" s="9" t="inlineStr">
        <is>
          <t>必核</t>
        </is>
      </c>
      <c r="B60" s="10" t="inlineStr">
        <is>
          <t>TX059</t>
        </is>
      </c>
      <c r="C60" s="10" t="inlineStr">
        <is>
          <t>事实</t>
        </is>
      </c>
      <c r="D60" s="10" t="inlineStr">
        <is>
          <t>§5.4 第9段 第2句</t>
        </is>
      </c>
      <c r="E60" s="10" t="inlineStr">
        <is>
          <t>Decremental state-space relaxation initially permits paths with</t>
        </is>
      </c>
      <c r="F60" s="10" t="inlineStr">
        <is>
          <t>[§5.4 第9段 第2句] Decremental state-space relaxation initially permits paths with insufficient visit memory, then restores critical state when the relaxed solution violates elementarity (Righini and Salani, 2008).</t>
        </is>
      </c>
      <c r="G60" s="10" t="inlineStr">
        <is>
          <t>S016 Righini and Salani, 2008</t>
        </is>
      </c>
      <c r="H60" s="10" t="inlineStr">
        <is>
          <t>确认 Righini &amp; Salani 2008 的递减状态空间松弛（DSSR）：开始时允许访问记忆不足的路径，松弛解违反初等性时再恢复关键状态。</t>
        </is>
      </c>
      <c r="I60" s="10" t="inlineStr">
        <is>
          <t>Righini and Salani, 2008：02_参考文献/论文全文/S016_Righini_2008.pdf</t>
        </is>
      </c>
      <c r="J60" s="10" t="inlineStr">
        <is>
          <t>E-T-S016-01：PDF pp7,10–11; Algorithm3; §7; printed161,164–165（关键词匹配，仅供参考）</t>
        </is>
      </c>
      <c r="K60" s="10" t="inlineStr">
        <is>
          <t>2_TableA1核对 S016-M1</t>
        </is>
      </c>
      <c r="L60" s="12" t="inlineStr"/>
      <c r="M60" s="12" t="inlineStr"/>
      <c r="N60" s="12" t="inlineStr"/>
      <c r="O60" s="12" t="inlineStr"/>
      <c r="P60" s="12" t="inlineStr"/>
      <c r="Q60" s="12" t="inlineStr"/>
    </row>
    <row r="61">
      <c r="A61" s="9" t="inlineStr">
        <is>
          <t>必核</t>
        </is>
      </c>
      <c r="B61" s="10" t="inlineStr">
        <is>
          <t>TX060</t>
        </is>
      </c>
      <c r="C61" s="10" t="inlineStr">
        <is>
          <t>事实</t>
        </is>
      </c>
      <c r="D61" s="10" t="inlineStr">
        <is>
          <t>§5.4 第9段 第3句</t>
        </is>
      </c>
      <c r="E61" s="10" t="inlineStr">
        <is>
          <t>An ng-route relaxation also enlarges the path</t>
        </is>
      </c>
      <c r="F61" s="10" t="inlineStr">
        <is>
          <t>[§5.4 第9段 第3句] An ng-route relaxation also enlarges the path set and can supply a useful lower bound without full refinement (Baldacci et al., 2011).</t>
        </is>
      </c>
      <c r="G61" s="10" t="inlineStr">
        <is>
          <t>S027 Baldacci et al., 2011</t>
        </is>
      </c>
      <c r="H61" s="10" t="inlineStr">
        <is>
          <t>确认 Baldacci 2011 的 ng-route 松弛：扩大路径集合，不需要完全细化就能提供有用的下界。</t>
        </is>
      </c>
      <c r="I61" s="10" t="inlineStr">
        <is>
          <t>Baldacci et al., 2011：02_参考文献/论文全文/S027_Baldacci_2011.pdf</t>
        </is>
      </c>
      <c r="J61" s="10" t="inlineStr">
        <is>
          <t>未自动匹配到对应记录；数据包中有 S027 7 条证据记录（data/release_1_2/evidence.csv，按 study_id 筛选）</t>
        </is>
      </c>
      <c r="K61" s="10" t="inlineStr">
        <is>
          <t>2_TableA1核对 S027-M1</t>
        </is>
      </c>
      <c r="L61" s="12" t="inlineStr"/>
      <c r="M61" s="12" t="inlineStr"/>
      <c r="N61" s="12" t="inlineStr"/>
      <c r="O61" s="12" t="inlineStr"/>
      <c r="P61" s="12" t="inlineStr"/>
      <c r="Q61" s="12" t="inlineStr"/>
    </row>
    <row r="62" ht="114" customHeight="1">
      <c r="A62" s="13" t="inlineStr">
        <is>
          <t>建议核</t>
        </is>
      </c>
      <c r="B62" s="10" t="inlineStr">
        <is>
          <t>TX061</t>
        </is>
      </c>
      <c r="C62" s="10" t="inlineStr">
        <is>
          <t>事实</t>
        </is>
      </c>
      <c r="D62" s="10" t="inlineStr">
        <is>
          <t>§5.4 第9段 第6–8句</t>
        </is>
      </c>
      <c r="E62" s="10" t="inlineStr">
        <is>
          <t>The broader state-space line includes accelerated elementary</t>
        </is>
      </c>
      <c r="F62" s="10" t="inlineStr">
        <is>
          <t>[§5.4 第9段 第6–8句] The broader state-space line includes accelerated elementary label setting and ng-based decremental refinement (Boland et al., 2006; Martinelli et al., 2014). The latter is already part of the coded corpus, with completion bounds and heuristic-first pricing distinguished as variants. The recent monograph places these developments within the same resource-memory framework (Desrosiers et al., 2026).</t>
        </is>
      </c>
      <c r="G62" s="10" t="inlineStr">
        <is>
          <t>Boland et al., 2006；S038 Martinelli et al., 2014；Desrosiers et al., 2026</t>
        </is>
      </c>
      <c r="H62" s="10" t="inlineStr">
        <is>
          <t>Boland 2006（加速初等标签设置，原文未获取，按 DOI 核对）；Martinelli 2014 的 ng-DSSR（已编码，完成界和启发式优先定价作为不同变体）；Desrosiers 2026 专著把这些发展放在同一资源记忆框架中。</t>
        </is>
      </c>
      <c r="I62" s="10" t="inlineStr">
        <is>
          <t>Boland et al., 2006：未获取原文：按 DOI 打开出版社页面或摘要核对
Martinelli et al., 2014：02_参考文献/论文全文/S038_Martinelli_2014.pdf
Desrosiers et al., 2026：90_过程归档/大修_v1.5/fulltext/book/PDFs/Branch_and_Price.pdf</t>
        </is>
      </c>
      <c r="J62" s="10" t="inlineStr">
        <is>
          <t>E-T-S038-05：PDF pp.21–23,26–27, printed20–22,25–26, Tables1–2（关键词匹配，仅供参考）
E-T-S038-07：PDF pp.24–25,30–31, printed23–24,29–30, Tables5–6（关键词匹配，仅供参考）</t>
        </is>
      </c>
      <c r="K62" s="10" t="inlineStr">
        <is>
          <t>2_TableA1核对 S038-M1~M3</t>
        </is>
      </c>
      <c r="L62" s="12" t="inlineStr"/>
      <c r="M62" s="12" t="str">
        <v>无法判断</v>
      </c>
      <c r="N62" s="12" t="str">
        <v>D122 原文依据（稿件定位摘录）：未确定。未取得足以支持具体断言的原始全文时，先撤下该断言的确定性表达；是否移除引用另作建议。
D122 PDF S038: 12–19, 21–22
Desrosiers:333;337–338
不适用（网页）；§§4.2–4.3; §5; §7
§5.1 Note5.6；Note5.9
出版社标题/摘要及DOI注册元数据；2026-10-15核查；https://www.sciencedirect.com/science/article/pii/S0167637705000040</v>
      </c>
      <c r="O62" s="12" t="str">
        <v>保留原作者摘要支持的历史背景，未增加算法证明、公式或 CG 效果结论。原始全文证据不足仍标未确定。</v>
      </c>
      <c r="P62" s="12" t="str">
        <v>Codex（依据作者裁决）</v>
      </c>
      <c r="Q62" s="12" t="str">
        <v>2026-10-15</v>
      </c>
    </row>
    <row r="63" ht="153" customHeight="1">
      <c r="A63" s="13" t="inlineStr">
        <is>
          <t>建议核</t>
        </is>
      </c>
      <c r="B63" s="10" t="inlineStr">
        <is>
          <t>TX062</t>
        </is>
      </c>
      <c r="C63" s="10" t="inlineStr">
        <is>
          <t>事实</t>
        </is>
      </c>
      <c r="D63" s="10" t="inlineStr">
        <is>
          <t>§5.4 第10段 第2句；§5.4 第10段 第5–6句</t>
        </is>
      </c>
      <c r="E63" s="10" t="inlineStr">
        <is>
          <t>Subset-row inequalities and limited-memory rank-1 cuts are</t>
        </is>
      </c>
      <c r="F63" s="10" t="inlineStr">
        <is>
          <t>[§5.4 第10段 第2句] Subset-row inequalities and limited-memory rank-1 cuts are important examples (Jepsen et al., 2008; Pecin et al., 2017).
[§5.4 第10段 第5–6句] The theoretical background and the coded generic BPC implementation explain why bound strength alone cannot determine total runtime (Desrosiers et al., 2026; Pessoa et al., 2020). No new effect estimate is extracted from the inaccessible original cut papers.</t>
        </is>
      </c>
      <c r="G63" s="10" t="inlineStr">
        <is>
          <t>Jepsen et al., 2008；Pecin et al., 2017；Desrosiers et al., 2026；S039 Pessoa et al., 2020</t>
        </is>
      </c>
      <c r="H63" s="10" t="inlineStr">
        <is>
          <t>确认 Jepsen 2008（子集行不等式）和 Pecin 2017（有限记忆秩-1 割）是恰当的例子（原文未获取，按 DOI 核对）；确认专著与 Pessoa 2020 解释了“界的强度本身不能决定总运行时间”。</t>
        </is>
      </c>
      <c r="I63" s="10" t="inlineStr">
        <is>
          <t>Jepsen et al., 2008：未获取原文：按 DOI 打开出版社页面或摘要核对
Pecin et al., 2017：未获取原文：按 DOI 打开出版社页面或摘要核对
Desrosiers et al., 2026：90_过程归档/大修_v1.5/fulltext/book/PDFs/Branch_and_Price.pdf
Pessoa et al., 2020：02_参考文献/论文全文/S039_Pessoa_2020.pdf</t>
        </is>
      </c>
      <c r="J63" s="10" t="inlineStr">
        <is>
          <t>未自动匹配到对应记录；数据包中有 S039 8 条证据记录（data/release_1_2/evidence.csv，按 study_id 筛选）</t>
        </is>
      </c>
      <c r="K63" s="10" t="inlineStr"/>
      <c r="L63" s="12" t="inlineStr"/>
      <c r="M63" s="12" t="str">
        <v>无法判断</v>
      </c>
      <c r="N63" s="12" t="str">
        <v>D123 原文依据（稿件定位摘录）：未确定。未取得足以支持具体断言的原始全文时，先撤下该断言的确定性表达；是否移除引用另作建议。
D123 PDF S039: 23–24, 27
Desrosiers:544;547
不适用（网页）
不适用（网页）；§5.2; 参数讨论
§7.7 非稳健割；子集行割
出版社标题/摘要及DOI注册元数据；2026-10-15核查；https://pubsonline.informs.org/doi/10.1287/opre.1070.0449
出版社标题/摘要及DOI注册元数据；2026-10-15核查；https://www.sciencedirect.com/science/article/pii/S0167637717301049</v>
      </c>
      <c r="O63" s="12" t="str">
        <v>保留原作者摘要支持的割类型与定价成本背景。未引用未核实数值或首次提出主张，全文证明仍未确定。</v>
      </c>
      <c r="P63" s="12" t="str">
        <v>Codex（依据作者裁决）</v>
      </c>
      <c r="Q63" s="12" t="str">
        <v>2026-10-15</v>
      </c>
    </row>
    <row r="64">
      <c r="A64" s="9" t="inlineStr">
        <is>
          <t>必核</t>
        </is>
      </c>
      <c r="B64" s="10" t="inlineStr">
        <is>
          <t>TX063</t>
        </is>
      </c>
      <c r="C64" s="10" t="inlineStr">
        <is>
          <t>事实</t>
        </is>
      </c>
      <c r="D64" s="10" t="inlineStr">
        <is>
          <t>§5.4 第12段 第2句</t>
        </is>
      </c>
      <c r="E64" s="10" t="inlineStr">
        <is>
          <t>The learned graph is abandoned when it</t>
        </is>
      </c>
      <c r="F64" s="10" t="inlineStr">
        <is>
          <t>[§5.4 第12段 第2句] The learned graph is abandoned when it fails to provide enough columns, and only full-graph failure closes CG (Morabit et al., 2023).</t>
        </is>
      </c>
      <c r="G64" s="10" t="inlineStr">
        <is>
          <t>S055 Morabit et al., 2023</t>
        </is>
      </c>
      <c r="H64" s="10" t="inlineStr">
        <is>
          <t>确认 Morabit 2023：学到的图提供不了足够的列时被放弃；只有完整图上的定价失败才闭合 CG（恢复机制，G2）。</t>
        </is>
      </c>
      <c r="I64" s="10" t="inlineStr">
        <is>
          <t>Morabit et al., 2023：02_参考文献/论文全文/S055_Morabit_2023.pdf</t>
        </is>
      </c>
      <c r="J64" s="10" t="inlineStr">
        <is>
          <t>未自动匹配到对应记录；数据包中有 S055 6 条证据记录（data/release_1_2/evidence.csv，按 study_id 筛选）</t>
        </is>
      </c>
      <c r="K64" s="10" t="inlineStr">
        <is>
          <t>2_TableA1核对 S055-M1~M4</t>
        </is>
      </c>
      <c r="L64" s="12" t="inlineStr"/>
      <c r="M64" s="12" t="inlineStr"/>
      <c r="N64" s="12" t="inlineStr"/>
      <c r="O64" s="12" t="inlineStr"/>
      <c r="P64" s="12" t="inlineStr"/>
      <c r="Q64" s="12" t="inlineStr"/>
    </row>
    <row r="65">
      <c r="A65" s="9" t="inlineStr">
        <is>
          <t>必核</t>
        </is>
      </c>
      <c r="B65" s="10" t="inlineStr">
        <is>
          <t>TX064</t>
        </is>
      </c>
      <c r="C65" s="10" t="inlineStr">
        <is>
          <t>事实</t>
        </is>
      </c>
      <c r="D65" s="10" t="inlineStr">
        <is>
          <t>§5.4 第12段 第3句</t>
        </is>
      </c>
      <c r="E65" s="10" t="inlineStr">
        <is>
          <t>Predicted objective cutoffs similarly fall back to</t>
        </is>
      </c>
      <c r="F65" s="10" t="inlineStr">
        <is>
          <t>[§5.4 第12段 第3句] Predicted objective cutoffs similarly fall back to a default bound when overly restrictive (Václavík et al., 2018).</t>
        </is>
      </c>
      <c r="G65" s="10" t="inlineStr">
        <is>
          <t>S048 Václavík et al., 2018</t>
        </is>
      </c>
      <c r="H65" s="10" t="inlineStr">
        <is>
          <t>确认 Václavík 2018：预测的目标截断值过严时，回退到默认界。</t>
        </is>
      </c>
      <c r="I65" s="10" t="inlineStr">
        <is>
          <t>Václavík et al., 2018：02_参考文献/论文全文/S048_Vaclavik_2018.pdf</t>
        </is>
      </c>
      <c r="J65" s="10" t="inlineStr">
        <is>
          <t>未自动匹配到对应记录；数据包中有 S048 5 条证据记录（data/release_1_2/evidence.csv，按 study_id 筛选）</t>
        </is>
      </c>
      <c r="K65" s="10" t="inlineStr">
        <is>
          <t>2_TableA1核对 S048-M1</t>
        </is>
      </c>
      <c r="L65" s="12" t="inlineStr"/>
      <c r="M65" s="12" t="inlineStr"/>
      <c r="N65" s="12" t="inlineStr"/>
      <c r="O65" s="12" t="inlineStr"/>
      <c r="P65" s="12" t="inlineStr"/>
      <c r="Q65" s="12" t="inlineStr"/>
    </row>
    <row r="66">
      <c r="A66" s="9" t="inlineStr">
        <is>
          <t>必核</t>
        </is>
      </c>
      <c r="B66" s="10" t="inlineStr">
        <is>
          <t>TX065</t>
        </is>
      </c>
      <c r="C66" s="10" t="inlineStr">
        <is>
          <t>事实</t>
        </is>
      </c>
      <c r="D66" s="10" t="inlineStr">
        <is>
          <t>§5.4 第12段 第4句；§7.3.3 第2段 第2句</t>
        </is>
      </c>
      <c r="E66" s="10" t="inlineStr">
        <is>
          <t>Permanent learned restrictions and learned driver-break transfer</t>
        </is>
      </c>
      <c r="F66" s="10" t="inlineStr">
        <is>
          <t>[§5.4 第12段 第4句] Permanent learned restrictions and learned driver-break transfer support a different objective: rapid feasible solutions with an explicit approximation tradeoff (Gao et al., 2025; Xue et al., 2026).
[§7.3.3 第2段 第2句] Matching a known optimum with a permanently restricted heuristic does not mean that the algorithm supplied its own proof (Gao et al., 2025).</t>
        </is>
      </c>
      <c r="G66" s="10" t="inlineStr">
        <is>
          <t>S069 Gao et al., 2025；S071 Xue et al., 2026</t>
        </is>
      </c>
      <c r="H66" s="10" t="inlineStr">
        <is>
          <t>确认 Gao 2025 和 Xue 2026：永久的学习限制和学习的司机休息转移，目标是快速得到可行解，有明确的近似权衡（G5）；§7.3.3 第2段第2句（“Matching a known optimum with a…”）：用永久受限的启发式匹配已知最优值，不等于算法自己给出了证明。</t>
        </is>
      </c>
      <c r="I66" s="10" t="inlineStr">
        <is>
          <t>Gao et al., 2025：02_参考文献/论文全文/S069_Gao_2025.pdf
Xue et al., 2026：02_参考文献/论文全文/S071_Xue_2026.pdf</t>
        </is>
      </c>
      <c r="J66" s="10" t="inlineStr">
        <is>
          <t>E-A-S069-01：PDF p.5 §4.1; p.6 Fig.3 visually inspected; p.7 Algorithm1; p.9 Algorithm2 line15; p.10 §§4.3.5,5.1; p.14 conclusion（关键词匹配，仅供参考）
E-A-S069-05：PDF pp.8–10 Propositions1–3; p.13 Table5; pp.16–17 AppendixC（关键词匹配，仅供参考）</t>
        </is>
      </c>
      <c r="K66" s="10" t="inlineStr">
        <is>
          <t>2_TableA1核对 S069-M1、S071-M1~M3</t>
        </is>
      </c>
      <c r="L66" s="12" t="inlineStr"/>
      <c r="M66" s="12" t="inlineStr"/>
      <c r="N66" s="12" t="inlineStr"/>
      <c r="O66" s="12" t="inlineStr"/>
      <c r="P66" s="12" t="inlineStr"/>
      <c r="Q66" s="12" t="inlineStr"/>
    </row>
    <row r="67">
      <c r="A67" s="9" t="inlineStr">
        <is>
          <t>必核</t>
        </is>
      </c>
      <c r="B67" s="10" t="inlineStr">
        <is>
          <t>TX066</t>
        </is>
      </c>
      <c r="C67" s="10" t="inlineStr">
        <is>
          <t>事实</t>
        </is>
      </c>
      <c r="D67" s="10" t="inlineStr">
        <is>
          <t>§5.4 第13段 第2–4句；§6.3 第2段 第2句</t>
        </is>
      </c>
      <c r="E67" s="10" t="inlineStr">
        <is>
          <t>Loading-constrained routing checks predicted-infeasible routes before exclusion</t>
        </is>
      </c>
      <c r="F67" s="10" t="inlineStr">
        <is>
          <t>[§5.4 第13段 第2–4句] Loading-constrained routing checks predicted-infeasible routes before exclusion and verifies relevant predicted-feasible routes through packing tests or cuts (Xia and Zhang, 2024; Zhang et al., 2022). That verification does not repair an unrelated approximate dominance rule. Exact and approximate dominance variants within the same framework therefore retain different guarantee labels.
[§6.3 第2段 第2句] A loading-feasibility verifier does not validate a separate approximate dominance test (Zhang et al., 2022).</t>
        </is>
      </c>
      <c r="G67" s="10" t="inlineStr">
        <is>
          <t>S083 Xia and Zhang, 2024；S052 Zhang et al., 2022</t>
        </is>
      </c>
      <c r="H67" s="10" t="inlineStr">
        <is>
          <t>确认 Xia &amp; Zhang 2024 与 Zhang 2022（装载约束路径）：预测不可行的路线在排除前会被检查，相关的预测可行路线通过装箱测试或割来验证；这种验证不能修复另一条近似支配规则；同一框架中的精确与近似支配变体保留不同的保证标签（S052-M2 为 G2，S052-M3 为 G5）。</t>
        </is>
      </c>
      <c r="I67" s="10" t="inlineStr">
        <is>
          <t>Xia and Zhang, 2024：02_参考文献/论文全文/S083_Xia_2024.pdf
Zhang et al., 2022：02_参考文献/论文全文/S052_Zhang_2022.pdf</t>
        </is>
      </c>
      <c r="J67" s="10" t="inlineStr">
        <is>
          <t>未自动匹配到对应记录；数据包中有 S052 6 条、S083 4 条证据记录（data/release_1_2/evidence.csv，按 study_id 筛选）</t>
        </is>
      </c>
      <c r="K67" s="10" t="inlineStr">
        <is>
          <t>2_TableA1核对 S052-M1~M3、S083-M1</t>
        </is>
      </c>
      <c r="L67" s="12" t="inlineStr"/>
      <c r="M67" s="12" t="inlineStr"/>
      <c r="N67" s="12" t="inlineStr"/>
      <c r="O67" s="12" t="inlineStr"/>
      <c r="P67" s="12" t="inlineStr"/>
      <c r="Q67" s="12" t="inlineStr"/>
    </row>
    <row r="68">
      <c r="A68" s="13" t="inlineStr">
        <is>
          <t>建议核</t>
        </is>
      </c>
      <c r="B68" s="10" t="inlineStr">
        <is>
          <t>TX067</t>
        </is>
      </c>
      <c r="C68" s="10" t="inlineStr">
        <is>
          <t>事实</t>
        </is>
      </c>
      <c r="D68" s="10" t="inlineStr">
        <is>
          <t>§5.5 第1段 第2句</t>
        </is>
      </c>
      <c r="E68" s="10" t="inlineStr">
        <is>
          <t>Multiphase labeling, dynamic bidirectional search and bucket</t>
        </is>
      </c>
      <c r="F68" s="10" t="inlineStr">
        <is>
          <t>[§5.5 第1段 第2句] Multiphase labeling, dynamic bidirectional search and bucket graphs organize extensions and dominance comparisons while retaining the required domain (Himmich et al., 2024; Sadykov et al., 2021; Tilk et al., 2017).</t>
        </is>
      </c>
      <c r="G68" s="10" t="inlineStr">
        <is>
          <t>S029 Himmich et al., 2024；S019 Sadykov et al., 2021；S037 Tilk et al., 2017</t>
        </is>
      </c>
      <c r="H68" s="10" t="inlineStr">
        <is>
          <t>确认 Himmich 2024（多阶段标签）、Sadykov 2021（桶图）、Tilk 2017（动态双向搜索）在保留所需定价域的同时组织扩展和支配比较。</t>
        </is>
      </c>
      <c r="I68" s="10" t="inlineStr">
        <is>
          <t>Himmich et al., 2024：02_参考文献/论文全文/S029_Himmich_2024.pdf
Sadykov et al., 2021：02_参考文献/论文全文/S019_Sadykov_2021.pdf
Tilk et al., 2017：02_参考文献/论文全文/S037_Tilk_2017.pdf</t>
        </is>
      </c>
      <c r="J68" s="10" t="inlineStr">
        <is>
          <t>E-T-S019-03：PDF pp16–18 §5 and§6.2; article pp15–17（关键词匹配，仅供参考）
E-T-S019-02：PDF pp11–15 §4, Figure4, equations14–16, Propositions1–5; article pp10–14（关键词匹配，仅供参考）</t>
        </is>
      </c>
      <c r="K68" s="10" t="inlineStr"/>
      <c r="L68" s="12" t="inlineStr"/>
      <c r="M68" s="12" t="inlineStr"/>
      <c r="N68" s="12" t="inlineStr"/>
      <c r="O68" s="12" t="inlineStr"/>
      <c r="P68" s="12" t="inlineStr"/>
      <c r="Q68" s="12" t="inlineStr"/>
    </row>
    <row r="69" ht="114" customHeight="1">
      <c r="A69" s="9" t="inlineStr">
        <is>
          <t>必核</t>
        </is>
      </c>
      <c r="B69" s="10" t="inlineStr">
        <is>
          <t>TX068</t>
        </is>
      </c>
      <c r="C69" s="10" t="inlineStr">
        <is>
          <t>事实</t>
        </is>
      </c>
      <c r="D69" s="10" t="inlineStr">
        <is>
          <t>§5.5 第1段 第3句</t>
        </is>
      </c>
      <c r="E69" s="10" t="inlineStr">
        <is>
          <t>Their correctness still depends on compatible joins</t>
        </is>
      </c>
      <c r="F69" s="10" t="inlineStr">
        <is>
          <t>[§5.5 第1段 第3句] Their correctness still depends on compatible joins, adequate forward–backward coverage and any jump arcs needed after graph changes (Righini and Salani, 2006).</t>
        </is>
      </c>
      <c r="G69" s="10" t="inlineStr">
        <is>
          <t>S036 Righini and Salani, 2006；S019 Sadykov et al., 2021</t>
        </is>
      </c>
      <c r="H69" s="10" t="inlineStr">
        <is>
          <t>需要你判断：句子说正确性取决于兼容的连接、充分的前后向覆盖，以及“图改变后所需的跳跃弧（jump arcs）”，只引用了 Righini &amp; Salani 2006。数据包中 Righini &amp; Salani 2006 的证据记录没有提到跳跃弧，跳跃弧是 Sadykov 2021 桶图中的概念（S019 变体描述含 “bucket-arc elimination with jump arcs”）。请在 2006 原文中确认；若没有，建议改为 (Righini and Salani, 2006; Sadykov et al., 2021)，或把 jump arcs 部分改引 Sadykov 2021。</t>
        </is>
      </c>
      <c r="I69" s="10" t="inlineStr">
        <is>
          <t>Righini and Salani, 2006：02_参考文献/论文全文/S036_Righini_2006.pdf
Sadykov et al., 2021：02_参考文献/论文全文/S019_Sadykov_2021.pdf</t>
        </is>
      </c>
      <c r="J69" s="10" t="inlineStr">
        <is>
          <t>未自动匹配到对应记录；数据包中有 S019 8 条、S036 5 条证据记录（data/release_1_2/evidence.csv，按 study_id 筛选）</t>
        </is>
      </c>
      <c r="K69" s="10" t="inlineStr"/>
      <c r="L69" s="12" t="inlineStr"/>
      <c r="M69" s="12" t="str">
        <v>需修改</v>
      </c>
      <c r="N69" s="12" t="str">
        <v>按裁决表文献取舍建议及 codex_辅助记录.xlsx 中本编号原文依据执行；仅修改断言或对应引用，不删除整篇文献。</v>
      </c>
      <c r="O69" s="12" t="str">
        <v>已落实于 v1.8 稿件。
Search can be accelerated without deciding that a state is dispensable. Multiphase labeling, dynamic bidirectional search and bucket graphs organize extensions and dominance comparisons while retaining the required domain (Himmich et al., 2024; Sadykov et al., 2021; Tilk et al., 2017). Compatible joins and adequate forward–backward coverage are required for bidirectional search (Righini and Salani, 2006). In bucket graphs, jump bucket arcs preserve compatibility after arc elimination (Sadykov et al., 2021). They provide stronger comparators than an arbitrary label-processing order.</v>
      </c>
      <c r="P69" s="12" t="str">
        <v>Codex（依据作者裁决）</v>
      </c>
      <c r="Q69" s="12" t="str">
        <v>2026-10-15</v>
      </c>
    </row>
    <row r="70">
      <c r="A70" s="9" t="inlineStr">
        <is>
          <t>必核</t>
        </is>
      </c>
      <c r="B70" s="10" t="inlineStr">
        <is>
          <t>TX069</t>
        </is>
      </c>
      <c r="C70" s="10" t="inlineStr">
        <is>
          <t>数值</t>
        </is>
      </c>
      <c r="D70" s="10" t="inlineStr">
        <is>
          <t>§5.5 第2段 第1–5句；§7.2 第5段 第4句；Table C.1 第1行</t>
        </is>
      </c>
      <c r="E70" s="10" t="inlineStr">
        <is>
          <t>Data-driven dynamic programming postpones low-score labels in</t>
        </is>
      </c>
      <c r="F70" s="10" t="inlineStr">
        <is>
          <t>[§5.5 第2段 第1–5句] Data-driven dynamic programming postpones low-score labels in retained pools and eventually processes them; exact dominance controls deletion (Minoli et al., 2026). This is a G1 design for standalone pricing. With its reported retraining interval k = 10, the easy 17-instance group is 24.9% slower on average, whereas the nine hard cases improve by about 20%. Collection, training and inference are included. The result identifies the difficulty range in which the ordering overhead can pay off, without establishing a measured CG or tree speedup.
[§7.2 第5段 第4句] Pure learned ordering currently offers a cleaner local intervention, but the accessed evidence is a preprint E1 experiment rather than a demonstrated tree benefit (Minoli et al., 2026).
[Table C.1 第1行] (Minoli et al., 2026), E1 | Learned versus Node ordering; 17 easy, 12 medium, 9 hard | At k=10, mean easy slowdown 24.9%, medium gain 8.8%, hard gain about 20% | All 38 solved; online learning included; no integrated CG or tree timing</t>
        </is>
      </c>
      <c r="G70" s="10" t="inlineStr">
        <is>
          <t>S065 Minoli et al., 2026</t>
        </is>
      </c>
      <c r="H70" s="10" t="inlineStr">
        <is>
          <t>Minoli 2026（预印本）：预测为低分的标签被推迟但最终仍会处理，删除只由精确支配决定 → G1，独立定价（E1）。数值：重训练间隔 k = 10（这里 k 与 Koutecká 的 k 含义不同）；17 个 easy 算例平均慢 24.9%；12 个 medium 平均快 8.8%；9 个 hard 快 4.9–31.2%，平均约 20%；38 个算例全部求解；时间包含数据收集、模型训练和推理。证据记录 E-A-S065-04（PDF pp.24–27，§7.5，Tables 6–8）。</t>
        </is>
      </c>
      <c r="I70" s="10" t="inlineStr">
        <is>
          <t>Minoli et al., 2026：02_参考文献/论文全文/S065_Minoli_2026.pdf</t>
        </is>
      </c>
      <c r="J70" s="10" t="inlineStr">
        <is>
          <t>E-A-S065-04：PDF pp.24–27 §7.5 Tables6–8（数字匹配）
E-A-S065-01：PDF pp.9–13 §4 Algorithms2–3（关键词匹配，仅供参考）</t>
        </is>
      </c>
      <c r="K70" s="10" t="inlineStr"/>
      <c r="L70" s="12" t="inlineStr"/>
      <c r="M70" s="12" t="inlineStr"/>
      <c r="N70" s="12" t="inlineStr"/>
      <c r="O70" s="12" t="inlineStr"/>
      <c r="P70" s="12" t="inlineStr"/>
      <c r="Q70" s="12" t="inlineStr"/>
    </row>
    <row r="71">
      <c r="A71" s="9" t="inlineStr">
        <is>
          <t>必核</t>
        </is>
      </c>
      <c r="B71" s="10" t="inlineStr">
        <is>
          <t>TX070</t>
        </is>
      </c>
      <c r="C71" s="10" t="inlineStr">
        <is>
          <t>事实</t>
        </is>
      </c>
      <c r="D71" s="10" t="inlineStr">
        <is>
          <t>§5.5 第3段 第3–6句</t>
        </is>
      </c>
      <c r="E71" s="10" t="inlineStr">
        <is>
          <t>Learned vertex scores can guide independent-set sampling</t>
        </is>
      </c>
      <c r="F71" s="10" t="inlineStr">
        <is>
          <t>[§5.5 第3段 第3–6句] Learned vertex scores can guide independent-set sampling, item predictions can bias ant-colony search, and a transformer can propose scheduling sequences (Hijazi et al., 2026; Shen et al., 2022; Xu et al., 2024). If each returned object is feasible and its reduced cost is checked at the current dual, it is a legitimate proposal. Failure can trigger a complete oracle. Graph-coloring and bin-packing-with-conflicts studies include full B&amp;P experiments; the scheduling study evaluates root CG and budgeted objective progress.</t>
        </is>
      </c>
      <c r="G71" s="10" t="inlineStr">
        <is>
          <t>S068 Hijazi et al., 2026；S053 Shen et al., 2022；S088 Xu et al., 2024</t>
        </is>
      </c>
      <c r="H71" s="10" t="inlineStr">
        <is>
          <t>三个例子与三篇文献的对应：顶点得分指导独立集采样 = Shen 2022（图着色）；物品预测偏置蚁群搜索 = Xu 2024（MLACO，带冲突装箱）；Transformer 提议排程序列 = Hijazi 2026（排程）。确认：返回对象可行且在当前对偶下检查约化成本时是合法提议；失败时调用完整求解程序；图着色和带冲突装箱研究包含完整 B&amp;P 实验，排程研究只评估根节点 CG 和预算内的目标进展。</t>
        </is>
      </c>
      <c r="I71" s="10" t="inlineStr">
        <is>
          <t>Hijazi et al., 2026：02_参考文献/论文全文/S068_Hijazi_2026.pdf
Shen et al., 2022：02_参考文献/论文全文/S053_Shen_2022.pdf
Xu et al., 2024：02_参考文献/论文全文/S088_Xu_2024.pdf</t>
        </is>
      </c>
      <c r="J71" s="10" t="inlineStr">
        <is>
          <t>E-A-S053-01：PDF3, Optimal Solution Prediction / Generating Columns via Sampling / Columns Selection（关键词匹配，仅供参考）
E-B-S088-01：PDF pp4–6, Algorithms1–3 and §3.1–4.1（关键词匹配，仅供参考）</t>
        </is>
      </c>
      <c r="K71" s="10" t="inlineStr">
        <is>
          <t>2_TableA1核对 S053-M1、S068-M1、S088-M1</t>
        </is>
      </c>
      <c r="L71" s="12" t="inlineStr"/>
      <c r="M71" s="12" t="inlineStr"/>
      <c r="N71" s="12" t="inlineStr"/>
      <c r="O71" s="12" t="inlineStr"/>
      <c r="P71" s="12" t="inlineStr"/>
      <c r="Q71" s="12" t="inlineStr"/>
    </row>
    <row r="72">
      <c r="A72" s="9" t="inlineStr">
        <is>
          <t>必核</t>
        </is>
      </c>
      <c r="B72" s="10" t="inlineStr">
        <is>
          <t>TX071</t>
        </is>
      </c>
      <c r="C72" s="10" t="inlineStr">
        <is>
          <t>事实</t>
        </is>
      </c>
      <c r="D72" s="10" t="inlineStr">
        <is>
          <t>§5.5 第4段 第2句；§6.4 第2段 第2句</t>
        </is>
      </c>
      <c r="E72" s="10" t="inlineStr">
        <is>
          <t>Time-limited dynamic programming may be an effective</t>
        </is>
      </c>
      <c r="F72" s="10" t="inlineStr">
        <is>
          <t>[§5.5 第4段 第2句] Time-limited dynamic programming may be an effective fallback, but failure before the cap cannot certify absence of a useful column (Abouelrous et al., 2025b).
[§6.4 第2段 第2句] A permanent graph restriction, bounded beam or learned stopping decision without recovery has no established complete certificate for the original domain (Abouelrous et al., 2025b; Gao et al., 2025; Jin and Yu, 2023).</t>
        </is>
      </c>
      <c r="G72" s="10" t="inlineStr">
        <is>
          <t>S061 Abouelrous et al., 2025b</t>
        </is>
      </c>
      <c r="H72" s="10" t="inlineStr">
        <is>
          <t>确认 Abouelrous 2025b：限时动态规划可以作为回退，但在时间上限前失败不能证明不存在有用的列（S061-M2：学习定价后接有上限的 DP → G5）。</t>
        </is>
      </c>
      <c r="I72" s="10" t="inlineStr">
        <is>
          <t>Abouelrous et al., 2025b：02_参考文献/论文全文/S061_Abouelrous_2025.pdf</t>
        </is>
      </c>
      <c r="J72" s="10" t="inlineStr">
        <is>
          <t>未自动匹配到对应记录；数据包中有 S061 6 条证据记录（data/release_1_2/evidence.csv，按 study_id 筛选）</t>
        </is>
      </c>
      <c r="K72" s="10" t="inlineStr">
        <is>
          <t>2_TableA1核对 S061-M1/M2</t>
        </is>
      </c>
      <c r="L72" s="12" t="inlineStr"/>
      <c r="M72" s="12" t="inlineStr"/>
      <c r="N72" s="12" t="inlineStr"/>
      <c r="O72" s="12" t="inlineStr"/>
      <c r="P72" s="12" t="inlineStr"/>
      <c r="Q72" s="12" t="inlineStr"/>
    </row>
    <row r="73">
      <c r="A73" s="9" t="inlineStr">
        <is>
          <t>必核</t>
        </is>
      </c>
      <c r="B73" s="10" t="inlineStr">
        <is>
          <t>TX072</t>
        </is>
      </c>
      <c r="C73" s="10" t="inlineStr">
        <is>
          <t>数值</t>
        </is>
      </c>
      <c r="D73" s="10" t="inlineStr">
        <is>
          <t>§5.5 第4段 第3–6句；§7.4 第2段 第2–4句</t>
        </is>
      </c>
      <c r="E73" s="10" t="inlineStr">
        <is>
          <t>Likewise, the constrained-path framework of Jin and</t>
        </is>
      </c>
      <c r="F73" s="10" t="inlineStr">
        <is>
          <t>[§5.5 第4段 第3–6句] Likewise, the constrained-path framework of Jin and Yu stops when a classifier predicts that the incumbent cannot be improved (Jin and Yu, 2023). Its reported 90.47% classification accuracy supports a heuristic stopping decision, not a proof. Tests on 1000 unseen networks with fixed size and nonnegative features do not establish transfer to signed reduced-cost pricing. This supporting study supplies E0 and E1 evidence, not realized CG acceleration.
[§7.4 第2段 第2–4句] Jin and Yu test 1000 unseen networks with the same 100-node, 4758-arc structure and nonnegative features (Jin and Yu, 2023). The reported better-path percentages and favorable comparisons do not count certified optima or test signed reduced-cost pricing. Keeping this boundary explicit makes the study useful for construction without treating it as realized CG acceleration.</t>
        </is>
      </c>
      <c r="G73" s="10" t="inlineStr">
        <is>
          <t>S104 Jin and Yu, 2023</t>
        </is>
      </c>
      <c r="H73" s="10" t="inlineStr">
        <is>
          <t>确认 Jin &amp; Yu 2023（约束路径）：当分类器预测现有解不能再改进时停止；分类准确率 90.47%；在 1000 个未见过的网络上测试，网络结构固定（100 个节点、4758 条弧），特征非负；证据范围 E0 和 E1；报告的“更优路径百分比”和有利比较不计入已认证的最优，也没有测试带符号的约化成本定价。</t>
        </is>
      </c>
      <c r="I73" s="10" t="inlineStr">
        <is>
          <t>Jin and Yu, 2023：02_参考文献/论文全文/CL026_Jin_2023.pdf</t>
        </is>
      </c>
      <c r="J73" s="10" t="inlineStr">
        <is>
          <t>E-U-S104-03：PDF p. 6 (printed 67), Sections IV.A–C（数字匹配）
E-U-S104-04：PDF p. 6 (printed 67), Table I and evaluation paragraph（数字匹配）
E-U-S104-05：PDF p. 6 (printed 67), Table I and last evaluation paragraph（数字匹配）</t>
        </is>
      </c>
      <c r="K73" s="10" t="inlineStr">
        <is>
          <t>2_TableA1核对 S104-M1</t>
        </is>
      </c>
      <c r="L73" s="12" t="inlineStr"/>
      <c r="M73" s="12" t="inlineStr"/>
      <c r="N73" s="12" t="inlineStr"/>
      <c r="O73" s="12" t="inlineStr"/>
      <c r="P73" s="12" t="inlineStr"/>
      <c r="Q73" s="12" t="inlineStr"/>
    </row>
    <row r="74">
      <c r="A74" s="9" t="inlineStr">
        <is>
          <t>必核</t>
        </is>
      </c>
      <c r="B74" s="10" t="inlineStr">
        <is>
          <t>TX073</t>
        </is>
      </c>
      <c r="C74" s="10" t="inlineStr">
        <is>
          <t>事实</t>
        </is>
      </c>
      <c r="D74" s="10" t="inlineStr">
        <is>
          <t>§5.6 第2段 第1–2句</t>
        </is>
      </c>
      <c r="E74" s="10" t="inlineStr">
        <is>
          <t>The original supervised column-selection study encountered convergence</t>
        </is>
      </c>
      <c r="F74" s="10" t="inlineStr">
        <is>
          <t>[§5.6 第2段 第1–2句] The original supervised column-selection study encountered convergence difficulties when admitting only expert-positive columns and consequently retained additional negative columns (Morabit et al., 2021). The useful regime was one in which master solution time dominated.</t>
        </is>
      </c>
      <c r="G74" s="10" t="inlineStr">
        <is>
          <t>S050 Morabit et al., 2021</t>
        </is>
      </c>
      <c r="H74" s="10" t="inlineStr">
        <is>
          <t>确认 Morabit 2021（监督学习列选择）：只准入专家标为正的列时遇到收敛困难，因此保留了额外的负列；有用的区间是主问题求解时间占主导时。</t>
        </is>
      </c>
      <c r="I74" s="10" t="inlineStr">
        <is>
          <t>Morabit et al., 2021：02_参考文献/论文全文/S050_Morabit_2021.pdf</t>
        </is>
      </c>
      <c r="J74" s="10" t="inlineStr">
        <is>
          <t>E-A-S050-03：PDF pp9–10 §4.4.1,Figure5,Table1; pp11–12 §4.4.3（关键词匹配，仅供参考）</t>
        </is>
      </c>
      <c r="K74" s="10" t="inlineStr">
        <is>
          <t>2_TableA1核对 S050-M1~M3</t>
        </is>
      </c>
      <c r="L74" s="12" t="inlineStr"/>
      <c r="M74" s="12" t="inlineStr"/>
      <c r="N74" s="12" t="inlineStr"/>
      <c r="O74" s="12" t="inlineStr"/>
      <c r="P74" s="12" t="inlineStr"/>
      <c r="Q74" s="12" t="inlineStr"/>
    </row>
    <row r="75">
      <c r="A75" s="9" t="inlineStr">
        <is>
          <t>必核</t>
        </is>
      </c>
      <c r="B75" s="10" t="inlineStr">
        <is>
          <t>TX074</t>
        </is>
      </c>
      <c r="C75" s="10" t="inlineStr">
        <is>
          <t>事实</t>
        </is>
      </c>
      <c r="D75" s="10" t="inlineStr">
        <is>
          <t>§5.6 第2段 第3句</t>
        </is>
      </c>
      <c r="E75" s="10" t="inlineStr">
        <is>
          <t>Reinforcement learning extends selection across iterations through</t>
        </is>
      </c>
      <c r="F75" s="10" t="inlineStr">
        <is>
          <t>[§5.6 第2段 第3句] Reinforcement learning extends selection across iterations through single-column, fixed-batch or variable-batch actions (Chi et al., 2022; Hu et al., 2025; Yuan et al., 2024).</t>
        </is>
      </c>
      <c r="G75" s="10" t="inlineStr">
        <is>
          <t>S054 Chi et al., 2022；S059 Hu et al., 2025；S057 Yuan et al., 2024</t>
        </is>
      </c>
      <c r="H75" s="10" t="inlineStr">
        <is>
          <t>确认强化学习列选择的三种动作：Chi 2022 = 单列选择；Yuan 2024 = 固定批量（10 选 5）；Hu 2025 = 可变批量。句中引用按字母排序 (Chi; Hu; Yuan)，请确认对应关系没有写反。</t>
        </is>
      </c>
      <c r="I75" s="10" t="inlineStr">
        <is>
          <t>Chi et al., 2022：02_参考文献/论文全文/S054_Chi_2022.pdf
Hu et al., 2025：02_参考文献/论文全文/S059_Hu_2025.pdf
Yuan et al., 2024：02_参考文献/论文全文/S057_Yuan_2024.pdf</t>
        </is>
      </c>
      <c r="J75" s="10" t="inlineStr">
        <is>
          <t>未自动匹配到对应记录；数据包中有 S054 4 条、S057 4 条、S059 4 条证据记录（data/release_1_2/evidence.csv，按 study_id 筛选）</t>
        </is>
      </c>
      <c r="K75" s="10" t="inlineStr"/>
      <c r="L75" s="12" t="inlineStr"/>
      <c r="M75" s="12" t="inlineStr"/>
      <c r="N75" s="12" t="inlineStr"/>
      <c r="O75" s="12" t="inlineStr"/>
      <c r="P75" s="12" t="inlineStr"/>
      <c r="Q75" s="12" t="inlineStr"/>
    </row>
    <row r="76">
      <c r="A76" s="15" t="inlineStr">
        <is>
          <t>已在其他表核对</t>
        </is>
      </c>
      <c r="B76" s="15" t="inlineStr">
        <is>
          <t>TX075</t>
        </is>
      </c>
      <c r="C76" s="15" t="inlineStr">
        <is>
          <t>数值</t>
        </is>
      </c>
      <c r="D76" s="15" t="inlineStr">
        <is>
          <t>§5.6 第2段 第4–5句；§7.2 第6段 第2句</t>
        </is>
      </c>
      <c r="E76" s="15" t="inlineStr">
        <is>
          <t>Under matched five-column admission, one study reports</t>
        </is>
      </c>
      <c r="F76" s="15" t="inlineStr">
        <is>
          <t>[§5.6 第2段 第4–5句] Under matched five-column admission, one study reports roughly 6–9% lower total time than a diversity rule across three cutting-stock test sets (Yuan et al., 2024). The comparison isolates a narrower contribution than a multi-column policy against single-column insertion.
[§7.2 第6段 第2句] Five-of-ten learned admission reduces test-set totals by roughly 6–9% against a matched diversity selector (Yuan et al., 2024).</t>
        </is>
      </c>
      <c r="G76" s="15" t="inlineStr">
        <is>
          <t>S057 Yuan et al., 2024</t>
        </is>
      </c>
      <c r="H76" s="15" t="inlineStr">
        <is>
          <t>与 Table 4 第8行一致：匹配的五列准入下，相对多样性规则（Diverse-M）在三个切割下料测试集上总时间约低 6–9%。由 Table 4 数值计算：(74.59 − 67.84)/74.59 = 9.05%，(59.32 − 55.05)/59.32 = 7.20%，(93.60 − 87.95)/93.60 = 6.04%。</t>
        </is>
      </c>
      <c r="I76" s="15" t="inlineStr">
        <is>
          <t>Yuan et al., 2024：02_参考文献/论文全文/S057_Yuan_2024.pdf</t>
        </is>
      </c>
      <c r="J76" s="15" t="inlineStr">
        <is>
          <t>见 3_Table4核对 第8行</t>
        </is>
      </c>
      <c r="K76" s="15" t="inlineStr">
        <is>
          <t>3_Table4核对 第8行</t>
        </is>
      </c>
      <c r="L76" s="15" t="inlineStr"/>
      <c r="M76" s="15" t="inlineStr"/>
      <c r="N76" s="15" t="inlineStr"/>
      <c r="O76" s="15" t="inlineStr"/>
      <c r="P76" s="15" t="inlineStr"/>
      <c r="Q76" s="15" t="inlineStr"/>
    </row>
    <row r="77">
      <c r="A77" s="9" t="inlineStr">
        <is>
          <t>必核</t>
        </is>
      </c>
      <c r="B77" s="10" t="inlineStr">
        <is>
          <t>TX076</t>
        </is>
      </c>
      <c r="C77" s="10" t="inlineStr">
        <is>
          <t>事实</t>
        </is>
      </c>
      <c r="D77" s="10" t="inlineStr">
        <is>
          <t>§5.6 第3段 第1–4句</t>
        </is>
      </c>
      <c r="E77" s="10" t="inlineStr">
        <is>
          <t>FFCG learns when to stop adding candidates</t>
        </is>
      </c>
      <c r="F77" s="10" t="inlineStr">
        <is>
          <t>[§5.6 第3段 第1–4句] FFCG learns when to stop adding candidates to a batch (Hu et al., 2025). Its STOP action is unavailable before one column is admitted and does not stop CG. It can spend fewer seconds despite using more iterations than an add-many comparator. This is an allocation of master size across iterations, not a guarantee that each batch is globally best.</t>
        </is>
      </c>
      <c r="G77" s="10" t="inlineStr">
        <is>
          <t>S059 Hu et al., 2025</t>
        </is>
      </c>
      <c r="H77" s="10" t="inlineStr">
        <is>
          <t>确认 Hu 2025 FFCG：学习何时停止向批次加入候选列；STOP 动作在准入第一列之前不可用，也不停止 CG；可以在迭代次数更多的情况下比“多列准入”比较方法用时更少；这是主问题规模在迭代间的分配，不保证每批都是全局最优。</t>
        </is>
      </c>
      <c r="I77" s="10" t="inlineStr">
        <is>
          <t>Hu et al., 2025：02_参考文献/论文全文/S059_Hu_2025.pdf</t>
        </is>
      </c>
      <c r="J77" s="10" t="inlineStr">
        <is>
          <t>未自动匹配到对应记录；数据包中有 S059 4 条证据记录（data/release_1_2/evidence.csv，按 study_id 筛选）</t>
        </is>
      </c>
      <c r="K77" s="10" t="inlineStr">
        <is>
          <t>2_TableA1核对 S059-M1</t>
        </is>
      </c>
      <c r="L77" s="12" t="inlineStr"/>
      <c r="M77" s="12" t="inlineStr"/>
      <c r="N77" s="12" t="inlineStr"/>
      <c r="O77" s="12" t="inlineStr"/>
      <c r="P77" s="12" t="inlineStr"/>
      <c r="Q77" s="12" t="inlineStr"/>
    </row>
    <row r="78">
      <c r="A78" s="13" t="inlineStr">
        <is>
          <t>建议核</t>
        </is>
      </c>
      <c r="B78" s="10" t="inlineStr">
        <is>
          <t>TX077</t>
        </is>
      </c>
      <c r="C78" s="10" t="inlineStr">
        <is>
          <t>事实</t>
        </is>
      </c>
      <c r="D78" s="10" t="inlineStr">
        <is>
          <t>§5.6 第4段 第2句；§6.2 第5段 第7句；§8.2 第5段 第5句</t>
        </is>
      </c>
      <c r="E78" s="10" t="inlineStr">
        <is>
          <t>Finite convergence also needs a progress rule</t>
        </is>
      </c>
      <c r="F78" s="10" t="inlineStr">
        <is>
          <t>[§5.6 第4段 第2句] Finite convergence also needs a progress rule, particularly when columns can repeatedly leave and reenter the RMP (Fang et al., 2023; Morabit et al., 2021).
[§6.2 第5段 第7句] This is a sufficient design condition, not a claim that every reviewed selector implements it or that exact arithmetic automatically describes a floating-point solver (Morabit et al., 2021; Yuan et al., 2024).
[§8.2 第5段 第5句] The evaluation should include the size of the master, regeneration frequency, memory use and the no-deletion tail, rather than only the number of columns kept (Fang et al., 2023; Morabit et al., 2021; Yuan et al., 2024).</t>
        </is>
      </c>
      <c r="G78" s="10" t="inlineStr">
        <is>
          <t>S087 Fang et al., 2023；S050 Morabit et al., 2021；S057 Yuan et al., 2024</t>
        </is>
      </c>
      <c r="H78" s="10" t="inlineStr">
        <is>
          <t>确认 Fang 2023、Morabit 2021、Yuan 2024 与“列会反复离开并重新进入 RMP 时需要进展规则”“评估应包括主问题规模、再生成频率、内存和无删除尾部”相关。§6.2 第5段第7句（“This is a sufficient design condition…”）是本文提出的充分设计条件，不声称每个选择器都实现了它。</t>
        </is>
      </c>
      <c r="I78" s="10" t="inlineStr">
        <is>
          <t>Fang et al., 2023：02_参考文献/论文全文/S087_Fang_2023.pdf
Morabit et al., 2021：02_参考文献/论文全文/S050_Morabit_2021.pdf
Yuan et al., 2024：02_参考文献/论文全文/S057_Yuan_2024.pdf</t>
        </is>
      </c>
      <c r="J78" s="10" t="inlineStr">
        <is>
          <t>E-B-S087-03：PDF p.5 §V.D, Fig.3; p.6 conclusion（关键词匹配，仅供参考）</t>
        </is>
      </c>
      <c r="K78" s="10" t="inlineStr"/>
      <c r="L78" s="12" t="inlineStr"/>
      <c r="M78" s="12" t="inlineStr"/>
      <c r="N78" s="12" t="inlineStr"/>
      <c r="O78" s="12" t="inlineStr"/>
      <c r="P78" s="12" t="inlineStr"/>
      <c r="Q78" s="12" t="inlineStr"/>
    </row>
    <row r="79">
      <c r="A79" s="9" t="inlineStr">
        <is>
          <t>必核</t>
        </is>
      </c>
      <c r="B79" s="10" t="inlineStr">
        <is>
          <t>TX078</t>
        </is>
      </c>
      <c r="C79" s="10" t="inlineStr">
        <is>
          <t>公式</t>
        </is>
      </c>
      <c r="D79" s="10" t="inlineStr">
        <is>
          <t>§5.6 第5段；§5.6 Eq. (12)；§5.6 第6段；§5.6 第7段；§7.2 第6段 第5句</t>
        </is>
      </c>
      <c r="E79" s="10" t="inlineStr">
        <is>
          <t>Permanent fixing requires stronger information. DeLuxing uses</t>
        </is>
      </c>
      <c r="F79" s="10" t="inlineStr">
        <is>
          <t>[§5.6 第5段] Permanent fixing requires stronger information. DeLuxing uses Lagrangian underestimates over an appropriately enumerated pool (Yang, 2025). In its high-reduced-cost case, the incumbent gap argument ensures that an improving integer solution contains at most one high-cost column. All other selected columns then belong to an auxiliary low-cost set. For an auxiliary dual ŷ feasible for that set, a conditional fixing test is
[§5.6 Eq. (12)] Eq. (12)（公式，见 Word 原稿）
[§5.6 第6段] Here UB is a valid incumbent value, and the row signs and auxiliary feasibility conditions must be respected. The expression bounds the cost after forcing column j to one. The auxiliary dual need not be feasible for every original column because the gap argument has already restricted the remaining columns. Low-cost columns require a different compatibility correction. Applying Eq. (12) to an arbitrary learned subset would lose the premise that makes it safe.
[§5.6 第7段] Clustering in DeLuxing searches for effective auxiliary duals; the fixing inequality supplies the guarantee. Its full-solver experiments also separate fixing from an added primal heuristic. Enumeration and incumbent quality affect when the mechanism becomes useful, so its gains cannot be assigned to learned elimination or assumed available before an adequate column pool exists.
[§7.2 第6段 第5句] Classical safe fixing provides a separate route to tree acceleration, conditional on a suitable pool and incumbent (Yang, 2025).</t>
        </is>
      </c>
      <c r="G79" s="10" t="inlineStr">
        <is>
          <t>S021 Yang, 2025</t>
        </is>
      </c>
      <c r="H79" s="10" t="inlineStr">
        <is>
          <t>Yang 2025 DeLuxing。Eq. (12)：c_j + (b − a_j)ᵀŷ &gt; UB ⟹ 列 j 不可能属于改进的整数解。符号：UB = 有效现有解（incumbent）的目标值；ŷ = 在低成本辅助列集合上可行的辅助对偶；c_j、a_j = 列 j 的成本和系数。核对：①高约化成本情形下，现有解间隙论证保证改进整数解至多含一个高成本列；②低成本列需要不同的兼容性修正；③聚类只用于寻找有效的辅助对偶，保证来自固定不等式；④完整求解实验把固定与新加入的原始启发式分开。请对照原文确认 Eq. (12) 的写法和条件。</t>
        </is>
      </c>
      <c r="I79" s="10" t="inlineStr">
        <is>
          <t>Yang, 2025：02_参考文献/论文全文/S021_Yang_2025.pdf</t>
        </is>
      </c>
      <c r="J79" s="10" t="inlineStr">
        <is>
          <t>不适用</t>
        </is>
      </c>
      <c r="K79" s="10" t="inlineStr">
        <is>
          <t>2_TableA1核对 S021-M1~M4</t>
        </is>
      </c>
      <c r="L79" s="12" t="inlineStr"/>
      <c r="M79" s="12" t="inlineStr"/>
      <c r="N79" s="12" t="inlineStr"/>
      <c r="O79" s="12" t="inlineStr"/>
      <c r="P79" s="12" t="inlineStr"/>
      <c r="Q79" s="12" t="inlineStr"/>
    </row>
    <row r="80">
      <c r="A80" s="13" t="inlineStr">
        <is>
          <t>建议核</t>
        </is>
      </c>
      <c r="B80" s="10" t="inlineStr">
        <is>
          <t>TX079</t>
        </is>
      </c>
      <c r="C80" s="10" t="inlineStr">
        <is>
          <t>事实</t>
        </is>
      </c>
      <c r="D80" s="10" t="inlineStr">
        <is>
          <t>§6.1 第2段 第4句</t>
        </is>
      </c>
      <c r="E80" s="10" t="inlineStr">
        <is>
          <t>A positive restricted artificial objective cannot by</t>
        </is>
      </c>
      <c r="F80" s="10" t="inlineStr">
        <is>
          <t>[§6.1 第2段 第4句] A positive restricted artificial objective cannot by itself prove the full node infeasible (Petris et al., 2025; Vanderbeck, 2005; Zhang et al., 2026).</t>
        </is>
      </c>
      <c r="G80" s="10" t="inlineStr">
        <is>
          <t>S002 Petris et al., 2025；S040 Vanderbeck, 2005；S102 Zhang et al., 2026</t>
        </is>
      </c>
      <c r="H80" s="10" t="inlineStr">
        <is>
          <t>确认“受限人工目标为正本身不能证明完整节点不可行”（需要 Phase-I 或 Farkas 定价）与三篇文献一致。</t>
        </is>
      </c>
      <c r="I80" s="10" t="inlineStr">
        <is>
          <t>Petris et al., 2025：02_参考文献/论文全文/ 中以 S002_ 开头的文件
Vanderbeck, 2005：02_参考文献/论文全文/ 中以 S040_ 开头的文件
Zhang et al., 2026：02_参考文献/论文全文/CL002_Zhang_2026.pdf</t>
        </is>
      </c>
      <c r="J80" s="10" t="inlineStr">
        <is>
          <t>E-U-S102-04：PDF pp7–8 §3.1; pp11–12 Proposition3 Eq18（关键词匹配，仅供参考）</t>
        </is>
      </c>
      <c r="K80" s="10" t="inlineStr"/>
      <c r="L80" s="12" t="inlineStr"/>
      <c r="M80" s="12" t="inlineStr"/>
      <c r="N80" s="12" t="inlineStr"/>
      <c r="O80" s="12" t="inlineStr"/>
      <c r="P80" s="12" t="inlineStr"/>
      <c r="Q80" s="12" t="inlineStr"/>
    </row>
    <row r="81">
      <c r="A81" s="13" t="inlineStr">
        <is>
          <t>建议核</t>
        </is>
      </c>
      <c r="B81" s="10" t="inlineStr">
        <is>
          <t>TX080</t>
        </is>
      </c>
      <c r="C81" s="10" t="inlineStr">
        <is>
          <t>背景</t>
        </is>
      </c>
      <c r="D81" s="10" t="inlineStr">
        <is>
          <t>§6.1 Figure 2 图注</t>
        </is>
      </c>
      <c r="E81" s="10" t="inlineStr">
        <is>
          <t>Figure 2. From a checked proposal to</t>
        </is>
      </c>
      <c r="F81" s="10" t="inlineStr">
        <is>
          <t>[§6.1 Figure 2 图注] Figure 2. From a checked proposal to valid LP closure. A proposed column enters the RMP only after a legality and reduced-cost check at the current dual; closure requires a valid full-domain lower bound for every pricing block. Recovery (G2) returns columns or bounds, whereas an interrupted or unchecked return keeps only the last valid bound, for example Eq. (3). An infeasible RMP first requires Phase-I or Farkas pricing (Section 6.1). Python rendering used code assisted by OpenAI GPT-series models via Codex and Notion AI. Exact model versions were not recorded.</t>
        </is>
      </c>
      <c r="G81" s="10" t="inlineStr"/>
      <c r="H81" s="10" t="inlineStr">
        <is>
          <t>Figure 2 图注：确认图中流程与图注一致（提议列在当前对偶下检查合法性和约化成本后才进入 RMP；闭合需要每个定价块的有效全域下界；中断或未检查的返回只保留最后一个有效界，例如 Eq. (3)；不可行 RMP 先做 Phase-I 或 Farkas 定价）。这是本文的概念图，不需要原文。</t>
        </is>
      </c>
      <c r="I81" s="10" t="inlineStr">
        <is>
          <t>见对应其他表</t>
        </is>
      </c>
      <c r="J81" s="10" t="inlineStr">
        <is>
          <t>不适用</t>
        </is>
      </c>
      <c r="K81" s="10" t="inlineStr"/>
      <c r="L81" s="12" t="inlineStr"/>
      <c r="M81" s="12" t="inlineStr"/>
      <c r="N81" s="12" t="inlineStr"/>
      <c r="O81" s="12" t="inlineStr"/>
      <c r="P81" s="12" t="inlineStr"/>
      <c r="Q81" s="12" t="inlineStr"/>
    </row>
    <row r="82">
      <c r="A82" s="9" t="inlineStr">
        <is>
          <t>必核</t>
        </is>
      </c>
      <c r="B82" s="10" t="inlineStr">
        <is>
          <t>TX081</t>
        </is>
      </c>
      <c r="C82" s="10" t="inlineStr">
        <is>
          <t>公式</t>
        </is>
      </c>
      <c r="D82" s="10" t="inlineStr">
        <is>
          <t>§6.2 Eq. (13)；§6.2 第4段</t>
        </is>
      </c>
      <c r="E82" s="10" t="inlineStr">
        <is>
          <t>Here Cf and Ci are feature and</t>
        </is>
      </c>
      <c r="F82" s="10" t="inlineStr">
        <is>
          <t>[§6.2 Eq. (13)] Eq. (13)（公式，见 Word 原稿）
[§6.2 第4段] Here Cf and Ci are feature and inference costs, Cs is initial search cost, and Cr is recovery cost. The indicator equals one when recovery is invoked and zero otherwise. Cpost includes later master solves and certification, excluding work already counted. The recovery indicator and cost can depend strongly on the state and chosen restriction. Eq. (13) is a design objective, not an estimated relationship from the reviewed studies. It shows why an average recovery probability multiplied by an unconditional average exact-call cost can be misleading: the failures that trigger recovery may be precisely the hardest states. A filter can save most early label extensions and still lose at final closure.</t>
        </is>
      </c>
      <c r="G82" s="10" t="inlineStr"/>
      <c r="H82" s="10" t="inlineStr">
        <is>
          <t>Eq. (13)：E[C(a) | s] = C_f + C_i + E[C_s(a) + 𝕀_R·C_r(a) + C_post | s]。符号：a = 决策，s = 状态；C_f = 特征计算成本；C_i = 推理成本；C_s = 初始搜索成本；𝕀_R = 是否调用恢复的指示变量（调用为 1，否则为 0）；C_r = 恢复成本；C_post = 之后的主问题求解与认证成本（不重复计算）。确认这是设计目标，不是从研究中估计的关系。</t>
        </is>
      </c>
      <c r="I82" s="10" t="inlineStr">
        <is>
          <t>不需要原文（本文自己的推导、计数或你本人的陈述）</t>
        </is>
      </c>
      <c r="J82" s="10" t="inlineStr">
        <is>
          <t>不适用</t>
        </is>
      </c>
      <c r="K82" s="10" t="inlineStr"/>
      <c r="L82" s="12" t="inlineStr"/>
      <c r="M82" s="12" t="inlineStr"/>
      <c r="N82" s="12" t="inlineStr"/>
      <c r="O82" s="12" t="inlineStr"/>
      <c r="P82" s="12" t="inlineStr"/>
      <c r="Q82" s="12" t="inlineStr"/>
    </row>
    <row r="83">
      <c r="A83" s="9" t="inlineStr">
        <is>
          <t>必核</t>
        </is>
      </c>
      <c r="B83" s="10" t="inlineStr">
        <is>
          <t>TX082</t>
        </is>
      </c>
      <c r="C83" s="10" t="inlineStr">
        <is>
          <t>编码</t>
        </is>
      </c>
      <c r="D83" s="10" t="inlineStr">
        <is>
          <t>Table 3 第1行；Table 3 第2行；Table 3 第3行；Table 3 第4行</t>
        </is>
      </c>
      <c r="E83" s="10" t="inlineStr">
        <is>
          <t>Learned pricing order, G1 (Koutecká et al.</t>
        </is>
      </c>
      <c r="F83" s="10" t="inlineStr">
        <is>
          <t>[Table 3 第1行] Learned pricing order, G1 (Koutecká et al., 2025; Shan et al., 2026) | Retain complete block list and certify all relevant subproblems at closure | Earlier successful or stale calls do not close the current node
[Table 3 第2行] Graph restriction with restoration, G2 (Morabit et al., 2023) | Final pricing on the complete graph | Guarantee is for the modeled route relaxation; restoration time counts
[Table 3 第3行] Learned construction, G2 (Shen et al., 2022; Xu et al., 2024) | Check feasibility and reduced cost; complete oracle after proposal failure | Restricted or capped fallback does not give the same guarantee
[Table 3 第4行] Partial dominance and fixing, G3 (Desaulniers et al., 2020; Faldum et al., 2024) | Proved continuation coverage or valid lower-bound plus incumbent test | Resources, active cuts and branching must satisfy the proof conditions</t>
        </is>
      </c>
      <c r="G83" s="10" t="inlineStr">
        <is>
          <t>S058 Koutecká et al., 2025；S091 Shan et al., 2026；S055 Morabit et al., 2023；S053 Shen et al., 2022；S088 Xu et al., 2024；S045 Desaulniers et al., 2020；S031 Faldum et al., 2024</t>
        </is>
      </c>
      <c r="H83" s="10" t="inlineStr">
        <is>
          <t>Table 3 第1–4行的标签：学习定价顺序 G1（Koutecká 2025；Shan 2026）；带恢复的图限制 G2（Morabit 2023）；学习构造 G2（Shen 2022；Xu 2024）；部分支配与固定 G3（Desaulniers 2020；Faldum 2024）。对照原文确认第二列“保证依据”和第三列“边界”描述准确。若你在表 1/表 2 中改了这些变体的主机制，这里要同步修改。</t>
        </is>
      </c>
      <c r="I83" s="10" t="inlineStr">
        <is>
          <t>Koutecká et al., 2025：02_参考文献/论文全文/S058_Koutecka_2025.pdf
Shan et al., 2026：02_参考文献/论文全文/S091_Shan_2026.pdf
Morabit et al., 2023：02_参考文献/论文全文/S055_Morabit_2023.pdf
Shen et al., 2022：02_参考文献/论文全文/S053_Shen_2022.pdf
Xu et al., 2024：02_参考文献/论文全文/S088_Xu_2024.pdf
Desaulniers et al., 2020：02_参考文献/论文全文/S045_Desaulniers_2020.pdf
Faldum et al., 2024：02_参考文献/论文全文/S031_Faldum_2024.pdf</t>
        </is>
      </c>
      <c r="J83" s="10" t="inlineStr">
        <is>
          <t>E-R-S091-05：PDF pp. 15–22, Propositions 1–5 and Algorithm 1（关键词匹配，仅供参考）
E-R-S091-04：PDF p. 29, Section 7.1; pp. 31–32, Section 7.4（关键词匹配，仅供参考）</t>
        </is>
      </c>
      <c r="K83" s="10" t="inlineStr">
        <is>
          <t>2_TableA1核对 对应变体</t>
        </is>
      </c>
      <c r="L83" s="12" t="inlineStr"/>
      <c r="M83" s="12" t="inlineStr"/>
      <c r="N83" s="12" t="inlineStr"/>
      <c r="O83" s="12" t="inlineStr"/>
      <c r="P83" s="12" t="inlineStr"/>
      <c r="Q83" s="12" t="inlineStr"/>
    </row>
    <row r="84" ht="75" customHeight="1">
      <c r="A84" s="9" t="inlineStr">
        <is>
          <t>必核</t>
        </is>
      </c>
      <c r="B84" s="10" t="inlineStr">
        <is>
          <t>TX083</t>
        </is>
      </c>
      <c r="C84" s="10" t="inlineStr">
        <is>
          <t>编码</t>
        </is>
      </c>
      <c r="D84" s="10" t="inlineStr">
        <is>
          <t>Table 3 第5行；Table 3 第6行；Table 3 第7行；Table 3 第8行</t>
        </is>
      </c>
      <c r="E84" s="10" t="inlineStr">
        <is>
          <t>Learned dual restrictions (You et al., 2026a)</t>
        </is>
      </c>
      <c r="F84" s="10" t="inlineStr">
        <is>
          <t>[Table 3 第5行] Learned dual restrictions (You et al., 2026a) | Direct valid weak bound: G4. Original-LP recovery: G2 primary, G4 secondary | Preprint; target determines primary code; exact pricing alone does not recover the original bound
[Table 3 第6行] Exact and approximate loading dominance (Zhang et al., 2022) | Feasibility verification plus exact dominance variant | Neural packing checks do not repair an approximate dominance rule
[Table 3 第7行] Permanent learned graph restriction, G5 (Gao et al., 2025) | Useful feasible columns may be generated | No full-domain certificate; known-optimum matches are not proofs
[Table 3 第8行] Documentation unresolved, GU (Núñez Ares et al., 2016) | No primary mechanism assigned pending sufficient certificate detail | Evidence-status flag, not a mathematical guarantee or proof of error</t>
        </is>
      </c>
      <c r="G84" s="10" t="inlineStr">
        <is>
          <t>S066 You et al., 2026a；S052 Zhang et al., 2022；S069 Gao et al., 2025；S100 Núñez Ares et al., 2016</t>
        </is>
      </c>
      <c r="H84" s="10" t="inlineStr">
        <is>
          <t>Table 3 第5–8行：You 2026a 直接版 G4，恢复原 LP 版主 G2、次 G4；Zhang 2022 精确与近似装载支配（神经装箱检查不能修复近似支配）；Gao 2025 永久学习图限制 G5（与已知最优匹配不是证明）；Núñez Ares 2016 文档未定 GU（不是数学保证，也不是错误证明）。确认描述与原文一致；§6.4 第2段第3句（“An unavailable proof supplement leaves a…”）说 Núñez Ares 缺少证明补充材料，请确认原文确实提到了该补充材料。</t>
        </is>
      </c>
      <c r="I84" s="10" t="inlineStr">
        <is>
          <t>You et al., 2026a：02_参考文献/论文全文/S066_You_2026.pdf
Zhang et al., 2022：02_参考文献/论文全文/S052_Zhang_2022.pdf
Gao et al., 2025：02_参考文献/论文全文/S069_Gao_2025.pdf
Núñez Ares et al., 2016：02_参考文献/论文全文/S100_Ares_2016.pdf</t>
        </is>
      </c>
      <c r="J84" s="10" t="inlineStr">
        <is>
          <t>E-A-S069-01：PDF p.5 §4.1; p.6 Fig.3 visually inspected; p.7 Algorithm1; p.9 Algorithm2 line15; p.10 §§4.3.5,5.1; p.14 conclusion（关键词匹配，仅供参考）
E-R-S100-01：PDF pp7–8, Sections5.3–6.5; Algorithm1（关键词匹配，仅供参考）</t>
        </is>
      </c>
      <c r="K84" s="10" t="inlineStr">
        <is>
          <t>1_27个案例裁决 / 2_TableA1核对</t>
        </is>
      </c>
      <c r="L84" s="12" t="inlineStr"/>
      <c r="M84" s="12" t="str">
        <v>需修改</v>
      </c>
      <c r="N84" s="12" t="str">
        <v>D003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
D003 PDF 4;7–8;10;13–14；§5.3–6.5;Algorithm1;Table4;AppendixC</v>
      </c>
      <c r="O84" s="12" t="str">
        <v>D003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v>
      </c>
      <c r="P84" s="12" t="str">
        <v>Codex（依据作者裁决）</v>
      </c>
      <c r="Q84" s="12" t="str">
        <v>2026-10-15</v>
      </c>
    </row>
    <row r="85" ht="205" customHeight="1">
      <c r="A85" s="15" t="inlineStr">
        <is>
          <t>已在其他表核对</t>
        </is>
      </c>
      <c r="B85" s="15" t="inlineStr">
        <is>
          <t>TX084</t>
        </is>
      </c>
      <c r="C85" s="15" t="inlineStr">
        <is>
          <t>数值</t>
        </is>
      </c>
      <c r="D85" s="15" t="inlineStr">
        <is>
          <t>§7.1 第1段 第3–7句</t>
        </is>
      </c>
      <c r="E85" s="15" t="inlineStr">
        <is>
          <t>Among the 80 core study families, 24</t>
        </is>
      </c>
      <c r="F85" s="15" t="inlineStr">
        <is>
          <t>[§7.1 第1段 第3–7句] Among the 80 core study families, 24 have at least one variant evaluated in a complete B&amp;P or BPC implementation, and 9 of these 24 evaluate a learning-guided variant. Twenty-three report at least one completed tree solve under their stated stopping criteria. The remaining family reports call and elapsed-time comparisons without a completed tree solve (Zhang et al., 2026). Five of the 23 families supply an optimal or near-optimal upper bound to the tree, and one reports a single showcased instance. For S091, completion uses a prescribed numerical gap whose threshold is not given in the accessed main report (Shan et al., 2026).</t>
        </is>
      </c>
      <c r="G85" s="15" t="inlineStr">
        <is>
          <t>补充表 S2（24 个研究族）</t>
        </is>
      </c>
      <c r="H85" s="15" t="inlineStr">
        <is>
          <t>“80 个核心研究族中 24 个有 E4 评估，其中 9 个评估学习引导变体；23 个至少报告一次完成的树求解，剩下 1 个是 S102；23 个中 5 个给树提供上界，1 个只展示单个实例；S091 使用的数值间隙阈值在主报告中没有给出”——在 4_S2核对 中逐个研究族核对；若有修改，这些数字由我重算。</t>
        </is>
      </c>
      <c r="I85" s="15" t="inlineStr">
        <is>
          <t>见对应其他表</t>
        </is>
      </c>
      <c r="J85" s="15" t="inlineStr">
        <is>
          <t>见 4_S2核对</t>
        </is>
      </c>
      <c r="K85" s="15" t="inlineStr">
        <is>
          <t>4_S2核对</t>
        </is>
      </c>
      <c r="L85" s="15" t="inlineStr"/>
      <c r="M85" s="15" t="str">
        <v>需修改</v>
      </c>
      <c r="N85" s="15" t="str">
        <v>D026 稿件原文（定位摘录）：保留“5 families with optimal or near-optimal supplied upper bounds”的限定。S019、S033、S039 另记为提供过启发式或可行上界，不并入这 5 族，也不把 NR 当 No。
D026 PDF 13–14、18–19；§6.3；§7；§7.2及Tables 5–7</v>
      </c>
      <c r="O85" s="15" t="str">
        <v>已落实于 v1.8 稿件。
Offline accuracy tests a predictor, fixed-state pricing tests a search mechanism, CG adds feedback through the dual trajectory, and complete-tree evaluation adds branching, cuts, incumbents and repeated node certification. A reduction in work at one level does not establish a reduction in time at another. Among the 80 core study families, 24 have at least one variant evaluated in a complete B&amp;P or BPC implementation, and 9 of these 24 evaluate a learning-guided variant. Twenty-three report at least one completed tree solve under their stated stopping criteria. The remaining family reports call and elapsed-time comparisons without a completed tree solve (Zhang et al., 2026). Five of the 23 families use optimal or near-optimal supplied upper bounds, and one reports a single showcased instance. Additional studies use heuristic or feasible initial bounds, including Sadykov et al. (2021), Ropke and Cordeau (2009), and Pessoa et al. (2020). The count of five does not include all forms of upper-bound initialization. For S091, completion uses a prescribed numerical gap whose threshold is not given in the accessed main report (Shan et al., 2026). Supplementary Table S2 distinguishes these conditions. These are inventory counts, not a uniform count of exact optimality proofs or an estimate of field prevalence.</v>
      </c>
      <c r="P85" s="15" t="str">
        <v>Codex（依据作者裁决）</v>
      </c>
      <c r="Q85" s="15" t="str">
        <v>2026-10-15</v>
      </c>
    </row>
    <row r="86">
      <c r="A86" s="9" t="inlineStr">
        <is>
          <t>必核</t>
        </is>
      </c>
      <c r="B86" s="10" t="inlineStr">
        <is>
          <t>TX085</t>
        </is>
      </c>
      <c r="C86" s="10" t="inlineStr">
        <is>
          <t>事实</t>
        </is>
      </c>
      <c r="D86" s="10" t="inlineStr">
        <is>
          <t>§2.3 第1段 第1句；§7.1 第3段 第1–5句</t>
        </is>
      </c>
      <c r="E86" s="10" t="inlineStr">
        <is>
          <t>Main comparisons use peer-reviewed reports with accessible</t>
        </is>
      </c>
      <c r="F86" s="10" t="inlineStr">
        <is>
          <t>[§2.3 第1段 第1句] Main comparisons use peer-reviewed reports with accessible information on the reported population and endpoint.
[§7.1 第3段 第1–5句] Table 4 presents a purposive set of peer-reviewed within-study contrasts across the six intervention layers. The rows compare an intervention with a classical or learning-free alternative at the same interface, or with the same solver without that intervention. Each row reports the population, statistic and denominator supported by the accessed source version. These are characteristics of the selected comparisons, not a prospectively specified or exhaustive selection protocol. Favorable and unfavorable results are retained, and statistics preserve their published definitions.</t>
        </is>
      </c>
      <c r="G86" s="10" t="inlineStr">
        <is>
          <t>S062 You et al., 2026b；S048 Václavík et al., 2018；S056 Kraul et al., 2023；S079 Sugishita et al., 2024；S055 Morabit et al., 2023；S058 Koutecká et al., 2025；S088 Xu et al., 2024；S057 Yuan et al., 2024；S059 Hu et al., 2025；S045 Desaulniers et al., 2020</t>
        </is>
      </c>
      <c r="H86" s="10" t="inlineStr">
        <is>
          <t>确认 Table 4 的 10 项研究都是经过同行评审的正式发表（期刊或会议；Hu 2024 arXiv 版只用于补充测试集信息），预印本只放在附录 C；确认每行都是“同一接口上的经典或不使用学习的替代方法”或“同一求解器去掉该干预”的比较。发表状态在 8_参考文献核对 中核对。</t>
        </is>
      </c>
      <c r="I86" s="10" t="inlineStr">
        <is>
          <t>You et al., 2026b：02_参考文献/论文全文/S062_You_2026.pdf
Václavík et al., 2018：02_参考文献/论文全文/S048_Vaclavik_2018.pdf
Kraul et al., 2023：02_参考文献/论文全文/S056_Kraul_2023.pdf
Sugishita et al., 2024：02_参考文献/论文全文/S079_Sugishita_2024.pdf
Morabit et al., 2023：02_参考文献/论文全文/S055_Morabit_2023.pdf
Koutecká et al., 2025：02_参考文献/论文全文/S058_Koutecka_2025.pdf
Xu et al., 2024：02_参考文献/论文全文/S088_Xu_2024.pdf
Yuan et al., 2024：02_参考文献/论文全文/S057_Yuan_2024.pdf
Hu et al., 2025：02_参考文献/论文全文/S059_Hu_2025.pdf
Desaulniers et al., 2020：02_参考文献/论文全文/S045_Desaulniers_2020.pdf</t>
        </is>
      </c>
      <c r="J86" s="10" t="inlineStr">
        <is>
          <t>未自动匹配到对应记录；数据包中有 S045 6 条、S048 5 条、S055 6 条、S056 5 条、S057 4 条、S058 5 条、S059 4 条、S062 5 条、S079 4 条、S088 4 条证据记录（data/release_1_2/evidence.csv，按 study_id 筛选）</t>
        </is>
      </c>
      <c r="K86" s="10" t="inlineStr">
        <is>
          <t>8_参考文献核对</t>
        </is>
      </c>
      <c r="L86" s="12" t="inlineStr"/>
      <c r="M86" s="12" t="inlineStr"/>
      <c r="N86" s="12" t="inlineStr"/>
      <c r="O86" s="12" t="inlineStr"/>
      <c r="P86" s="12" t="inlineStr"/>
      <c r="Q86" s="12" t="inlineStr"/>
    </row>
    <row r="87">
      <c r="A87" s="15" t="inlineStr">
        <is>
          <t>已在其他表核对</t>
        </is>
      </c>
      <c r="B87" s="15" t="inlineStr">
        <is>
          <t>TX086</t>
        </is>
      </c>
      <c r="C87" s="15" t="inlineStr">
        <is>
          <t>数值</t>
        </is>
      </c>
      <c r="D87" s="15" t="inlineStr">
        <is>
          <t>§7.1 第3段 第6句；§7.3.1 第1段 第1–2句</t>
        </is>
      </c>
      <c r="E87" s="15" t="inlineStr">
        <is>
          <t>For example, the FFCG values are total</t>
        </is>
      </c>
      <c r="F87" s="15" t="inlineStr">
        <is>
          <t>[§7.1 第3段 第6句] For example, the FFCG values are total runtimes over the 60-instance VRPTW test set described in the arXiv appendix (Hu et al., 2024).
[§7.3.1 第1段 第1–2句] The FFCG values 426.99, 2662.07 and 511.97 s yield baseline-relative reductions of 83.96% against single-column admission and 16.60% against all-ten admission (Hu et al., 2025). The two comparisons answer different questions.</t>
        </is>
      </c>
      <c r="G87" s="15" t="inlineStr">
        <is>
          <t>S059 Hu et al., 2025；Hu et al., 2024</t>
        </is>
      </c>
      <c r="H87" s="15" t="inlineStr">
        <is>
          <t>与 Table 4 第9行一致：FFCG 426.99 s，对比单列准入（Greedy-S）2662.07 s 和全十列准入（Greedy-M）511.97 s；基线相对减少 = (T基线 − T新方法)/T基线：(2662.07 − 426.99)/2662.07 = 83.96%，(511.97 − 426.99)/511.97 = 16.60%；这些是 60 个 VRPTW 测试算例上的总运行时间（总和，不是平均）。</t>
        </is>
      </c>
      <c r="I87" s="15" t="inlineStr">
        <is>
          <t>Hu et al., 2025：02_参考文献/论文全文/S059_Hu_2025.pdf
Hu et al., 2024：90_过程归档/大修_v1.5/fulltext/Hu/PDFs/FFCG_extended_arXiv_version.pdf</t>
        </is>
      </c>
      <c r="J87" s="15" t="inlineStr">
        <is>
          <t>E-A-S059-03：PDF p7 Table3 andResults onVRPTW（数字匹配）</t>
        </is>
      </c>
      <c r="K87" s="15" t="inlineStr">
        <is>
          <t>3_Table4核对 第9行</t>
        </is>
      </c>
      <c r="L87" s="15" t="inlineStr"/>
      <c r="M87" s="15" t="inlineStr"/>
      <c r="N87" s="15" t="inlineStr"/>
      <c r="O87" s="15" t="inlineStr"/>
      <c r="P87" s="15" t="inlineStr"/>
      <c r="Q87" s="15" t="inlineStr"/>
    </row>
    <row r="88">
      <c r="A88" s="9" t="inlineStr">
        <is>
          <t>必核</t>
        </is>
      </c>
      <c r="B88" s="10" t="inlineStr">
        <is>
          <t>TX087</t>
        </is>
      </c>
      <c r="C88" s="10" t="inlineStr">
        <is>
          <t>数值</t>
        </is>
      </c>
      <c r="D88" s="10" t="inlineStr">
        <is>
          <t>§7.3.1 第1段 第3句</t>
        </is>
      </c>
      <c r="E88" s="10" t="inlineStr">
        <is>
          <t>The extended appendix identifies 60 test instances</t>
        </is>
      </c>
      <c r="F88" s="10" t="inlineStr">
        <is>
          <t>[§7.3.1 第1段 第3句] The extended appendix identifies 60 test instances and reports 15–21 CPU hours of training, while independence between training and test parent templates remains unclear (Hu et al., 2024).</t>
        </is>
      </c>
      <c r="G88" s="10" t="inlineStr">
        <is>
          <t>Hu et al., 2024</t>
        </is>
      </c>
      <c r="H88" s="10" t="inlineStr">
        <is>
          <t>重点：句子说 arXiv 扩展版附录给出 60 个测试算例，并报告 15–21 CPU 小时的训练时间。数据包的证据记录中有 60 个测试算例和 240 个训练算例，但没有找到“15–21 CPU hours”的记录。请在 FFCG arXiv 版附录中找到训练时间的原文和页码；找不到就在“建议改法”中写明删除或改写。另确认“训练与测试母模板的独立性不明确”的说法。</t>
        </is>
      </c>
      <c r="I88" s="10" t="inlineStr">
        <is>
          <t>Hu et al., 2024：90_过程归档/大修_v1.5/fulltext/Hu/PDFs/FFCG_extended_arXiv_version.pdf</t>
        </is>
      </c>
      <c r="J88" s="10" t="inlineStr">
        <is>
          <t>未自动匹配到对应记录；数据包中有 S059 4 条证据记录（data/release_1_2/evidence.csv，按 study_id 筛选）</t>
        </is>
      </c>
      <c r="K88" s="10" t="inlineStr">
        <is>
          <t>3_Table4核对 第9行</t>
        </is>
      </c>
      <c r="L88" s="12" t="inlineStr"/>
      <c r="M88" s="12" t="inlineStr"/>
      <c r="N88" s="12" t="inlineStr"/>
      <c r="O88" s="12" t="inlineStr"/>
      <c r="P88" s="12" t="inlineStr"/>
      <c r="Q88" s="12" t="inlineStr"/>
    </row>
    <row r="89" ht="75" customHeight="1">
      <c r="A89" s="15" t="inlineStr">
        <is>
          <t>已在其他表核对</t>
        </is>
      </c>
      <c r="B89" s="15" t="inlineStr">
        <is>
          <t>TX088</t>
        </is>
      </c>
      <c r="C89" s="15" t="inlineStr">
        <is>
          <t>数值</t>
        </is>
      </c>
      <c r="D89" s="15" t="inlineStr">
        <is>
          <t>Table 4 第1行；Table 4 第2行；Table 4 第3行；Table 4 第4行；Table 4 第5行；Table 4 第6行；Table 4 第7行；Table 4 第8行；Table 4 第9行；Table 4 第10行</t>
        </is>
      </c>
      <c r="E89" s="15" t="inlineStr">
        <is>
          <t>(You et al., 2026b), E4</t>
        </is>
      </c>
      <c r="F89" s="15" t="inlineStr">
        <is>
          <t>[Table 4 第1行] (You et al., 2026b), E4 | 2LBB-dy versus learning-free 3PB-dy; 90 CVRP150 instances, Setting II | Geometric mean 317.2 versus 436.8 s with optimal supplied upper bounds | Learned screening adds value to adaptive branching in this setting; root-only cuts and no enumeration
[Table 4 第2行] (Václavík et al., 2018), E4 | Regression cutoff versus the same improved B&amp;P; 13 nurse-roster and 12 multiplexing cases, 10 repetitions | Source-reported runtime-reduction summaries of about 40% and 22% | Whole-solver times include online learning and backup; selected benchmarks; repetitions lack reported dispersion
[Table 4 第3行] (Kraul et al., 2023), E2 | Sparse predicted dual center versus classical stabilization | 500 synthetic cases: means 3.08 versus 5.62 s; 6195 BPPLIB cases: 128.51 versus 99.48 s | Advantage changes with test distribution; not evidence of a universal stabilization gain
[Table 4 第4行] (Sugishita et al., 2024), E2 | Dual-prediction warm start versus LP-relaxation warm start; 100 tests, 1000 generators | Mean 65.9 versus 131.2 s; both solve 100/100 to 0.25% gap | Fixed fleet with varied demand; training 24 h on eight cores per fleet; CG plus primal heuristic, not B&amp;P
[Table 4 第5行] (Morabit et al., 2023), E2 | Classical reduced-cost versus learned-only filtering; two reported groups, each n=5 | Reported group means 32 versus 65 s on 200-R2; 254 versus 560 s on 400-C2 | Strong classical filter wins in these groups; two-cycle root relaxation; hybrid results vary
[Table 4 第6行] (Koutecká et al., 2025), E4 | Learned versus random pricing-block order, k=1; 9 five-day operating-room cases | Mean calls 2950 versus 3923; mean time 2087 versus 1916 s | All nine finish within four hours; call savings do not translate to time savings here
[Table 4 第7行] (Xu et al., 2024), E4 | MLACO versus Gurobi solution-pool pricing; Hard28, four capacity settings | Proof counts 14/17/3/1 versus 14/9/4/0, each out of 28 | Benefit depends on capacity; fewer proofs in the third setting; fallback remains exact
[Table 4 第8行] (Yuan et al., 2024), E2 | Learned five-of-ten selection versus Diverse-M; 1000/200/100 cutting-stock tests | Totals 67.84/55.05/87.95 versus 74.59/59.32/93.60 s | Online selection included; matched batch isolates roughly 6–9% reduction; no tree result
[Table 4 第9行] (Hu et al., 2024; Hu et al., 2025), E2 | FFCG versus single and all-ten admission; 60 VRPTW tests | Reported runtimes 426.99 versus 2662.07 and 511.97 s | Reductions 83.96% and 16.60%; source reports total runtime over the test set
[Table 4 第10行] (Desaulniers et al., 2020), E4 | Classical two-arc versus single-arc fixing; selected 459 cases from 840 | About 19% whole-BPC time reduction based on geometric runtime ratios; 459 versus 455 proofs in selected set | New-method timeouts excluded, limits asymmetric, known optimum+1 supplied for VRPTW</t>
        </is>
      </c>
      <c r="G89" s="15" t="inlineStr">
        <is>
          <t>S062 You et al., 2026b；S048 Václavík et al., 2018；S056 Kraul et al., 2023；S079 Sugishita et al., 2024；S055 Morabit et al., 2023；S058 Koutecká et al., 2025；S088 Xu et al., 2024；S057 Yuan et al., 2024；S059 Hu et al., 2025；S045 Desaulniers et al., 2020</t>
        </is>
      </c>
      <c r="H89" s="15" t="inlineStr">
        <is>
          <t>Table 4 全部 10 行在 3_Table4核对 中逐行核对（数值、样本、分母和统计量）。这里只提醒：确认后，正文中复述这些数字的句子（§1 第1段第2句、§5.3 第4段第2句、§5.4 第11段第3句、§5.6 第2段第4句、§7.1 第3段第6句、§7.3.1 第1段第1句、§7.3.3 第1段第2句 等）都要与 Table 4 一致。</t>
        </is>
      </c>
      <c r="I89" s="15" t="inlineStr">
        <is>
          <t>You et al., 2026b：02_参考文献/论文全文/S062_You_2026.pdf
Václavík et al., 2018：02_参考文献/论文全文/S048_Vaclavik_2018.pdf
Kraul et al., 2023：02_参考文献/论文全文/S056_Kraul_2023.pdf
Sugishita et al., 2024：02_参考文献/论文全文/S079_Sugishita_2024.pdf
Morabit et al., 2023：02_参考文献/论文全文/S055_Morabit_2023.pdf
Koutecká et al., 2025：02_参考文献/论文全文/S058_Koutecka_2025.pdf
Xu et al., 2024：02_参考文献/论文全文/S088_Xu_2024.pdf
Yuan et al., 2024：02_参考文献/论文全文/S057_Yuan_2024.pdf
Hu et al., 2025：02_参考文献/论文全文/S059_Hu_2025.pdf
Desaulniers et al., 2020：02_参考文献/论文全文/S045_Desaulniers_2020.pdf</t>
        </is>
      </c>
      <c r="J89" s="15" t="inlineStr">
        <is>
          <t>E-A-S057-02：PDF pp5–6 Table1（数字匹配）
E-B-S079-02：PDF p13 Table4;pp11–12 §4.3（数字匹配）
E-A-S055-05：PDF p14 §5;p16 §5.3;pp17–18 §5.4.2 Table7（数字匹配）
E-A-S056-04：PDF p16 Table7; p17 Table8（数字匹配）</t>
        </is>
      </c>
      <c r="K89" s="15" t="inlineStr">
        <is>
          <t>3_Table4核对 第1–10行</t>
        </is>
      </c>
      <c r="L89" s="15" t="inlineStr"/>
      <c r="M89" s="15" t="str">
        <v>需修改</v>
      </c>
      <c r="N89" s="15" t="str">
        <v>D039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D039 PDF 正式版3–7；扩展版9、11；§4 Algorithms1–2；§5 Tables1–3；附录B/F.2</v>
      </c>
      <c r="O89" s="15" t="str">
        <v>D039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v>
      </c>
      <c r="P89" s="15" t="str">
        <v>Codex（依据作者裁决）</v>
      </c>
      <c r="Q89" s="15" t="str">
        <v>2026-10-15</v>
      </c>
    </row>
    <row r="90">
      <c r="A90" s="9" t="inlineStr">
        <is>
          <t>必核</t>
        </is>
      </c>
      <c r="B90" s="10" t="inlineStr">
        <is>
          <t>TX089</t>
        </is>
      </c>
      <c r="C90" s="10" t="inlineStr">
        <is>
          <t>事实</t>
        </is>
      </c>
      <c r="D90" s="10" t="inlineStr">
        <is>
          <t>§7.2 第1段 第2–4句；§7.3.3 第2段 第3句；§A.3 第2段 第6句</t>
        </is>
      </c>
      <c r="E90" s="10" t="inlineStr">
        <is>
          <t>The two-stage branching study compares a learned</t>
        </is>
      </c>
      <c r="F90" s="10" t="inlineStr">
        <is>
          <t>[§7.2 第1段 第2–4句] The two-stage branching study compares a learned rule with a learning-free adaptive strong-branching comparator inside the same solver (You et al., 2026b). Its result survives that stronger comparison, but the reported setting uses a supplied incumbent and a specified cut and enumeration configuration. This establishes a component advantage there, not a general preference for learning over all branch rules.
[§7.3.3 第2段 第3句] A supplied upper bound can also remove incumbent discovery from a BPC timing experiment (You et al., 2026b).
[§A.3 第2段 第6句] Other study-specific supplement gaps, including the loading-feasibility case and the two-stage branching electronic companion, are recorded and delimit the associated conclusions.</t>
        </is>
      </c>
      <c r="G90" s="10" t="inlineStr">
        <is>
          <t>S062 You et al., 2026b</t>
        </is>
      </c>
      <c r="H90" s="10" t="inlineStr">
        <is>
          <t>确认 You 2026b：学习规则与同一求解器内不使用学习的自适应强分支（3PB-dy）比较；报告的设置使用给定的现有解（上界），以及指定的割与枚举配置（Table 4 第1行：只在根节点加割、不做枚举）；电子附录（e-companion）未获取。</t>
        </is>
      </c>
      <c r="I90" s="10" t="inlineStr">
        <is>
          <t>You et al., 2026b：02_参考文献/论文全文/S062_You_2026.pdf</t>
        </is>
      </c>
      <c r="J90" s="10" t="inlineStr">
        <is>
          <t>E-A-S062-01：PDF pp8–11 §4.2–4.5, Assumptions1–3, Propositions1–3 and implementation Remarks（关键词匹配，仅供参考）</t>
        </is>
      </c>
      <c r="K90" s="10" t="inlineStr">
        <is>
          <t>3_Table4核对 第1行</t>
        </is>
      </c>
      <c r="L90" s="12" t="inlineStr"/>
      <c r="M90" s="12" t="inlineStr"/>
      <c r="N90" s="12" t="inlineStr"/>
      <c r="O90" s="12" t="inlineStr"/>
      <c r="P90" s="12" t="inlineStr"/>
      <c r="Q90" s="12" t="inlineStr"/>
    </row>
    <row r="91">
      <c r="A91" s="13" t="inlineStr">
        <is>
          <t>建议核</t>
        </is>
      </c>
      <c r="B91" s="10" t="inlineStr">
        <is>
          <t>TX090</t>
        </is>
      </c>
      <c r="C91" s="10" t="inlineStr">
        <is>
          <t>事实</t>
        </is>
      </c>
      <c r="D91" s="10" t="inlineStr">
        <is>
          <t>§7.2 第1段 第5句</t>
        </is>
      </c>
      <c r="E91" s="10" t="inlineStr">
        <is>
          <t>General MIP learning-to-branch and traditional diving motivate</t>
        </is>
      </c>
      <c r="F91" s="10" t="inlineStr">
        <is>
          <t>[§7.2 第1段 第5句] General MIP learning-to-branch and traditional diving motivate different comparators because branch selection and incumbent construction optimize different outcomes (Gasse et al., 2019; Khalil et al., 2016; Sadykov et al., 2019).</t>
        </is>
      </c>
      <c r="G91" s="10" t="inlineStr">
        <is>
          <t>Gasse et al., 2019；Khalil et al., 2016；S105 Sadykov et al., 2019</t>
        </is>
      </c>
      <c r="H91" s="10" t="inlineStr">
        <is>
          <t>确认一般 MIP 的学习分支与传统潜水需要不同的比较对象（分支选择与构造可行解优化的结果不同）。</t>
        </is>
      </c>
      <c r="I91" s="10" t="inlineStr">
        <is>
          <t>Gasse et al., 2019：90_过程归档/大修_v1.5/fulltext/Gasse/PDFs/Exact_Combinatorial_Optimization_with_Graph_Convolutional_Neural_Networks.pdf
Khalil et al., 2016：90_过程归档/大修_v1.5/fulltext/Khalil/PDFs/Learning_to_Branch_in_Mixed_Integer_Programming.pdf
Sadykov et al., 2019：90_过程归档/大修_v1.5/fulltext/Sadykov/PDFs/Primal_Heuristics_for_Branch_and_Price.pdf</t>
        </is>
      </c>
      <c r="J91" s="10" t="inlineStr">
        <is>
          <t>未自动匹配到对应记录；数据包中有 S105 13 条证据记录（data/evidence_s105_v1_7.csv，按 study_id 筛选）</t>
        </is>
      </c>
      <c r="K91" s="10" t="inlineStr"/>
      <c r="L91" s="12" t="inlineStr"/>
      <c r="M91" s="12" t="inlineStr"/>
      <c r="N91" s="12" t="inlineStr"/>
      <c r="O91" s="12" t="inlineStr"/>
      <c r="P91" s="12" t="inlineStr"/>
      <c r="Q91" s="12" t="inlineStr"/>
    </row>
    <row r="92">
      <c r="A92" s="15" t="inlineStr">
        <is>
          <t>已在其他表核对</t>
        </is>
      </c>
      <c r="B92" s="15" t="inlineStr">
        <is>
          <t>TX091</t>
        </is>
      </c>
      <c r="C92" s="15" t="inlineStr">
        <is>
          <t>数值</t>
        </is>
      </c>
      <c r="D92" s="15" t="inlineStr">
        <is>
          <t>§7.2 第2段 第2–3句；§7.2 第3段 第2–3句；§7.2 第4段 第1句；§7.2 第5段 第2句；§7.2 第6段 第3句</t>
        </is>
      </c>
      <c r="E92" s="15" t="inlineStr">
        <is>
          <t>Predicted sparse centers can improve tuned stabilization</t>
        </is>
      </c>
      <c r="F92" s="15" t="inlineStr">
        <is>
          <t>[§7.2 第2段 第2–3句] Predicted sparse centers can improve tuned stabilization on synthetic cutting stock, but the BPPLIB comparison reverses the runtime advantage (Kraul et al., 2023). Demand-based dual prediction improves unit-commitment performance against an LP-relaxation warm start on a fixed fleet, with substantial offline training (Sugishita et al., 2024).
[§7.2 第3段 第2–3句] Learned ordering can improve some operating-room configurations but reduces calls while increasing time in the nine-instance comparison in Table 4 (Koutecká et al., 2025). Ranking by expected column yield therefore need not rank calls by their contribution to elapsed-time savings.
[§7.2 第4段 第1句] At L4, recoverable learned cutoffs have peer-reviewed tree-level support in nurse rostering and multiplexing, using the same improved solver with regression switched on or off (Václavík et al., 2018).
[§7.2 第5段 第2句] Bin packing with conflicts gives a qualified E4 example against a Gurobi solution-pool pricing comparator, but proof counts vary with the capacity setting (Xu et al., 2024).
[§7.2 第6段 第3句] Variable-batch FFCG also improves its all-ten comparator, but much of its larger advantage over single-column CG belongs to batching itself (Hu et al., 2025).</t>
        </is>
      </c>
      <c r="G92" s="15" t="inlineStr">
        <is>
          <t>S056 Kraul et al., 2023；S079 Sugishita et al., 2024；S058 Koutecká et al., 2025；S048 Václavík et al., 2018；S088 Xu et al., 2024；S059 Hu et al., 2025</t>
        </is>
      </c>
      <c r="H92" s="15" t="inlineStr">
        <is>
          <t>第 7.2 节按层总结，数值来自 Table 4（Kraul、Sugishita、Koutecká、Václavík、Xu 2024、Hu 2025）。核对完 3_Table4核对 后，确认这里的方向和限定词（如“BPPLIB 比较中优势反转”“证明数随容量设置变化”“大部分优势来自批量本身”）与 Table 4 一致。</t>
        </is>
      </c>
      <c r="I92" s="15" t="inlineStr">
        <is>
          <t>Kraul et al., 2023：02_参考文献/论文全文/S056_Kraul_2023.pdf
Sugishita et al., 2024：02_参考文献/论文全文/S079_Sugishita_2024.pdf
Koutecká et al., 2025：02_参考文献/论文全文/S058_Koutecka_2025.pdf
Václavík et al., 2018：02_参考文献/论文全文/S048_Vaclavik_2018.pdf
Xu et al., 2024：02_参考文献/论文全文/S088_Xu_2024.pdf
Hu et al., 2025：02_参考文献/论文全文/S059_Hu_2025.pdf</t>
        </is>
      </c>
      <c r="J92" s="15" t="inlineStr">
        <is>
          <t>见 3_Table4核对</t>
        </is>
      </c>
      <c r="K92" s="15" t="inlineStr">
        <is>
          <t>3_Table4核对</t>
        </is>
      </c>
      <c r="L92" s="15" t="inlineStr"/>
      <c r="M92" s="15" t="inlineStr"/>
      <c r="N92" s="15" t="inlineStr"/>
      <c r="O92" s="15" t="inlineStr"/>
      <c r="P92" s="15" t="inlineStr"/>
      <c r="Q92" s="15" t="inlineStr"/>
    </row>
    <row r="93">
      <c r="A93" s="9" t="inlineStr">
        <is>
          <t>必核</t>
        </is>
      </c>
      <c r="B93" s="10" t="inlineStr">
        <is>
          <t>TX092</t>
        </is>
      </c>
      <c r="C93" s="10" t="inlineStr">
        <is>
          <t>访问</t>
        </is>
      </c>
      <c r="D93" s="10" t="inlineStr">
        <is>
          <t>§7.2 第4段 第4句；Appendix C 第2段 第2句</t>
        </is>
      </c>
      <c r="E93" s="10" t="inlineStr">
        <is>
          <t>Loading-feasibility prediction supplies an additional E4 demonstration</t>
        </is>
      </c>
      <c r="F93" s="10" t="inlineStr">
        <is>
          <t>[§7.2 第4段 第4句] Loading-feasibility prediction supplies an additional E4 demonstration, but its tabulated complete-tree evidence is a single showcased instance and its supplement is missing (Xia and Zhang, 2024).
[Appendix C 第2段 第2句] The S083 loading study's single complete-tree example and missing supplement likewise do not establish a broad full-tree speed advantage.</t>
        </is>
      </c>
      <c r="G93" s="10" t="inlineStr">
        <is>
          <t>S083 Xia and Zhang, 2024</t>
        </is>
      </c>
      <c r="H93" s="10" t="inlineStr">
        <is>
          <t>确认 Xia &amp; Zhang 2024：表格中的完整树证据只是一个展示的单个实例，补充材料缺失（未获取）。与 4_S2核对 中 S083“只展示单个实例 = Yes”一致。</t>
        </is>
      </c>
      <c r="I93" s="10" t="inlineStr">
        <is>
          <t>Xia and Zhang, 2024：02_参考文献/论文全文/S083_Xia_2024.pdf</t>
        </is>
      </c>
      <c r="J93" s="10" t="inlineStr">
        <is>
          <t>未自动匹配到对应记录；数据包中有 S083 4 条证据记录（data/release_1_2/evidence.csv，按 study_id 筛选）</t>
        </is>
      </c>
      <c r="K93" s="10" t="inlineStr">
        <is>
          <t>4_S2核对 S083</t>
        </is>
      </c>
      <c r="L93" s="12" t="inlineStr"/>
      <c r="M93" s="12" t="inlineStr"/>
      <c r="N93" s="12" t="inlineStr"/>
      <c r="O93" s="12" t="inlineStr"/>
      <c r="P93" s="12" t="inlineStr"/>
      <c r="Q93" s="12" t="inlineStr"/>
    </row>
    <row r="94">
      <c r="A94" s="9" t="inlineStr">
        <is>
          <t>必核</t>
        </is>
      </c>
      <c r="B94" s="10" t="inlineStr">
        <is>
          <t>TX093</t>
        </is>
      </c>
      <c r="C94" s="10" t="inlineStr">
        <is>
          <t>事实</t>
        </is>
      </c>
      <c r="D94" s="10" t="inlineStr">
        <is>
          <t>§7.2 第5段 第3句</t>
        </is>
      </c>
      <c r="E94" s="10" t="inlineStr">
        <is>
          <t>Graph-coloring experiments also reach E4, although changes</t>
        </is>
      </c>
      <c r="F94" s="10" t="inlineStr">
        <is>
          <t>[§7.2 第5段 第3句] Graph-coloring experiments also reach E4, although changes in sampling and batch generation complicate attribution of the whole gain to prediction (Shen et al., 2022).</t>
        </is>
      </c>
      <c r="G94" s="10" t="inlineStr">
        <is>
          <t>S053 Shen et al., 2022</t>
        </is>
      </c>
      <c r="H94" s="10" t="inlineStr">
        <is>
          <t>确认 Shen 2022 的图着色实验达到 E4，但采样和批量生成的变化使整体增益难以全部归因于预测。</t>
        </is>
      </c>
      <c r="I94" s="10" t="inlineStr">
        <is>
          <t>Shen et al., 2022：02_参考文献/论文全文/S053_Shen_2022.pdf</t>
        </is>
      </c>
      <c r="J94" s="10" t="inlineStr">
        <is>
          <t>未自动匹配到对应记录；数据包中有 S053 6 条证据记录（data/release_1_2/evidence.csv，按 study_id 筛选）</t>
        </is>
      </c>
      <c r="K94" s="10" t="inlineStr"/>
      <c r="L94" s="12" t="inlineStr"/>
      <c r="M94" s="12" t="inlineStr"/>
      <c r="N94" s="12" t="inlineStr"/>
      <c r="O94" s="12" t="inlineStr"/>
      <c r="P94" s="12" t="inlineStr"/>
      <c r="Q94" s="12" t="inlineStr"/>
    </row>
    <row r="95">
      <c r="A95" s="9" t="inlineStr">
        <is>
          <t>必核</t>
        </is>
      </c>
      <c r="B95" s="10" t="inlineStr">
        <is>
          <t>TX094</t>
        </is>
      </c>
      <c r="C95" s="10" t="inlineStr">
        <is>
          <t>编码</t>
        </is>
      </c>
      <c r="D95" s="10" t="inlineStr">
        <is>
          <t>§7.2 第6段 第4句</t>
        </is>
      </c>
      <c r="E95" s="10" t="inlineStr">
        <is>
          <t>E4 is reached by loading-related column-management variants</t>
        </is>
      </c>
      <c r="F95" s="10" t="inlineStr">
        <is>
          <t>[§7.2 第6段 第4句] E4 is reached by loading-related column-management variants (Zhang et al., 2022); that does not establish the same tree-level benefit for generic learned batch selection.</t>
        </is>
      </c>
      <c r="G95" s="10" t="inlineStr">
        <is>
          <t>S052 Zhang et al., 2022</t>
        </is>
      </c>
      <c r="H95" s="10" t="inlineStr">
        <is>
          <t>确认 Zhang 2022 的装载相关列管理变体（S052-M2、S052-M3）达到 E4，主层为 L6。</t>
        </is>
      </c>
      <c r="I95" s="10" t="inlineStr">
        <is>
          <t>Zhang et al., 2022：02_参考文献/论文全文/S052_Zhang_2022.pdf</t>
        </is>
      </c>
      <c r="J95" s="10" t="inlineStr">
        <is>
          <t>未自动匹配到对应记录；数据包中有 S052 6 条证据记录（data/release_1_2/evidence.csv，按 study_id 筛选）</t>
        </is>
      </c>
      <c r="K95" s="10" t="inlineStr">
        <is>
          <t>2_TableA1核对 S052-M2/M3</t>
        </is>
      </c>
      <c r="L95" s="12" t="inlineStr"/>
      <c r="M95" s="12" t="inlineStr"/>
      <c r="N95" s="12" t="inlineStr"/>
      <c r="O95" s="12" t="inlineStr"/>
      <c r="P95" s="12" t="inlineStr"/>
      <c r="Q95" s="12" t="inlineStr"/>
    </row>
    <row r="96" ht="75" customHeight="1">
      <c r="A96" s="15" t="inlineStr">
        <is>
          <t>自动重算</t>
        </is>
      </c>
      <c r="B96" s="15" t="inlineStr">
        <is>
          <t>TX095</t>
        </is>
      </c>
      <c r="C96" s="15" t="inlineStr">
        <is>
          <t>派生</t>
        </is>
      </c>
      <c r="D96" s="15" t="inlineStr">
        <is>
          <t>Table 5 第1行；Table 5 第2行；Table 5 第3行；Table 5 第4行；Table 5 第5行；Table 5 第6行</t>
        </is>
      </c>
      <c r="E96" s="15" t="inlineStr">
        <is>
          <t>L1: 5 (2 learned)</t>
        </is>
      </c>
      <c r="F96" s="15" t="inlineStr">
        <is>
          <t>[Table 5 第1行] L1: 5 (2 learned) | E4 / E4 | Adaptive strong branching with the same candidate machinery (You et al., 2026b) | Single-study support at E4 for candidate screening (You et al., 2026b); supplied incumbent and cut settings delimit the result.
[Table 5 第2行] L2: 21 (11 learned) | E4 / E2 | Classical penalty stabilization; LP-relaxation warm start (Kraul et al., 2023; Sugishita et al., 2024) | Conditionally supported at E2 for related repeated solves; broader cutting-stock tests reverse a gain; no learned E4 here.
[Table 5 第3行] L3: 16 (4 learned) | E4 / E4 | Classical partial-pricing order and matched call batches (Koutecká et al., 2025) | Configuration-dependent E4 results; no consistent call-count-to-time benefit; richer state targets remain provisional.
[Table 5 第4行] L4: 27 (12 learned) | E4 / E4 | Improved solver without regression; reduced-cost arc filtering (Morabit et al., 2023; Václavík et al., 2018) | Recoverable cutoff gains rest on a single E4 study with selected benchmarks (Václavík et al., 2018); learned-only routing filters do not consistently beat classical filters.
[Table 5 第5行] L5: 20 (13 learned) | E4 / E4 | Gurobi solution-pool pricing with the same B&amp;P framework (Xu et al., 2024) | Single-study E4 construction benefit (Xu et al., 2024); proof counts vary by capacity. Ordering-only E1 evidence remains preliminary.
[Table 5 第6行] L6: 15 (12 learned) | E4 / E4 | Matched diversity admission; all-ten admission (Hu et al., 2025; Yuan et al., 2024) | Generic batch-selection gains supported at E2. E4 loading variants do not establish tree gains for generic selectors.</t>
        </is>
      </c>
      <c r="G96" s="15" t="inlineStr"/>
      <c r="H96" s="15" t="inlineStr">
        <is>
          <t>Table 5 每层的研究族数（L1 5 个，其中 2 个学习；L2 21（11）；L3 16（4）；L4 27（12）；L5 20（13）；L6 15（12））和“最高证据范围 全部/学习”由编码数据重算；第三、四列的比较对象和结论来自 Table 4 与第 7.2 节，与 3_Table4核对 一致即可。</t>
        </is>
      </c>
      <c r="I96" s="15" t="inlineStr">
        <is>
          <t>不需要原文（本文自己的推导、计数或你本人的陈述）</t>
        </is>
      </c>
      <c r="J96" s="15" t="inlineStr">
        <is>
          <t>不适用</t>
        </is>
      </c>
      <c r="K96" s="15" t="inlineStr">
        <is>
          <t>3_Table4核对</t>
        </is>
      </c>
      <c r="L96" s="15" t="inlineStr"/>
      <c r="M96" s="15" t="str">
        <v>需修改</v>
      </c>
      <c r="N96" s="15" t="str">
        <v>D040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
D040 PDF 正式版3–7；扩展版9、11；§4 Algorithms1–2；§5 Tables1–3；附录B/F.2</v>
      </c>
      <c r="O96" s="15" t="str">
        <v>D040 L6 对照归属与条件：S057 / Yuan：固定从十列选五列，支持 matched admitted-batch 对照。S059 / Hu：相同十列候选池，FFCG 可变数量准入，Greedy-M 全十列准入。
保留原文已正确的 candidate budget / all-ten 表述，只明确归属；不得把 Hu 的 16.60% 解释为相同准入批量下的收益。</v>
      </c>
      <c r="P96" s="15" t="str">
        <v>Codex（依据作者裁决）</v>
      </c>
      <c r="Q96" s="15" t="str">
        <v>2026-10-15</v>
      </c>
    </row>
    <row r="97">
      <c r="A97" s="9" t="inlineStr">
        <is>
          <t>必核</t>
        </is>
      </c>
      <c r="B97" s="10" t="inlineStr">
        <is>
          <t>TX096</t>
        </is>
      </c>
      <c r="C97" s="10" t="inlineStr">
        <is>
          <t>数值</t>
        </is>
      </c>
      <c r="D97" s="10" t="inlineStr">
        <is>
          <t>§7.3.1 第2段 第2–5句</t>
        </is>
      </c>
      <c r="E97" s="10" t="inlineStr">
        <is>
          <t>DeLuxing's CVRP mean time changes from 2369.9</t>
        </is>
      </c>
      <c r="F97" s="10" t="inlineStr">
        <is>
          <t>[§7.3.1 第2段 第2–5句] DeLuxing's CVRP mean time changes from 2369.9 s to 1959.8 s with fixing and to 1635.5 s with fixing plus a new primal heuristic. The corresponding VRPTW means are 3915.1, 2993.9 and 2293.8 s (Yang, 2025). All 200 instances per class finish, but the supplied initial bound is 1.001 times the known optimum. The result supports the combined implementation under that initialization and does not charge it with finding the supplied incumbent.</t>
        </is>
      </c>
      <c r="G97" s="10" t="inlineStr">
        <is>
          <t>S021 Yang, 2025</t>
        </is>
      </c>
      <c r="H97" s="10" t="inlineStr">
        <is>
          <t>Yang 2025 DeLuxing 完整求解实验：CVRP 平均时间 2369.9 s（基线）→ 1959.8 s（加固定）→ 1635.5 s（固定 + 新原始启发式）；VRPTW 对应 3915.1 → 2993.9 → 2293.8 s；每类 200 个算例全部完成；给定的初始界 = 1.001 × 已知最优值。证据记录 E-B-S021-07（PDF pp21–23，§7.5，Table 7）。</t>
        </is>
      </c>
      <c r="I97" s="10" t="inlineStr">
        <is>
          <t>Yang, 2025：02_参考文献/论文全文/S021_Yang_2025.pdf</t>
        </is>
      </c>
      <c r="J97" s="10" t="inlineStr">
        <is>
          <t>E-B-S021-07：PDF pp21–23, §7.5 and Table 7（数字匹配）
E-B-S021-08：PDF pp22–23, §7.5.4（数字匹配）</t>
        </is>
      </c>
      <c r="K97" s="10" t="inlineStr">
        <is>
          <t>4_S2核对 S021</t>
        </is>
      </c>
      <c r="L97" s="12" t="inlineStr"/>
      <c r="M97" s="12" t="inlineStr"/>
      <c r="N97" s="12" t="inlineStr"/>
      <c r="O97" s="12" t="inlineStr"/>
      <c r="P97" s="12" t="inlineStr"/>
      <c r="Q97" s="12" t="inlineStr"/>
    </row>
    <row r="98">
      <c r="A98" s="9" t="inlineStr">
        <is>
          <t>必核</t>
        </is>
      </c>
      <c r="B98" s="10" t="inlineStr">
        <is>
          <t>TX097</t>
        </is>
      </c>
      <c r="C98" s="10" t="inlineStr">
        <is>
          <t>数值</t>
        </is>
      </c>
      <c r="D98" s="10" t="inlineStr">
        <is>
          <t>§7.3.2 第1段 第1–4句</t>
        </is>
      </c>
      <c r="E98" s="10" t="inlineStr">
        <is>
          <t>A time reduction divides the saving by</t>
        </is>
      </c>
      <c r="F98" s="10" t="inlineStr">
        <is>
          <t>[§7.3.2 第1段 第1–4句] A time reduction divides the saving by the baseline time. Dividing by the new method's time gives a different quantity. The reported CG times 536.04 and 448.20 s yield a baseline-relative reduction of 16.39%; the source's 19.60% uses the method time as denominator (Gao et al., 2025). Test-set totals, arithmetic means, geometric means and means of paired ratios are also distinct statistics.</t>
        </is>
      </c>
      <c r="G98" s="10" t="inlineStr">
        <is>
          <t>S069 Gao et al., 2025</t>
        </is>
      </c>
      <c r="H98" s="10" t="inlineStr">
        <is>
          <t>Gao 2025：报告的 CG 时间 536.04 s（基线 CG）和 448.20 s（LCG）。基线相对减少 = (536.04 − 448.20)/536.04 = 16.39%；原文的 19.60% = (536.04 − 448.20)/448.20，用的是新方法时间作分母。证据记录 E-A-S069-03（PDF p.12，§5.2.1，Table 3）。请确认原文数字和 19.60% 的写法。</t>
        </is>
      </c>
      <c r="I98" s="10" t="inlineStr">
        <is>
          <t>Gao et al., 2025：02_参考文献/论文全文/S069_Gao_2025.pdf</t>
        </is>
      </c>
      <c r="J98" s="10" t="inlineStr">
        <is>
          <t>E-A-S069-03：PDF p.12 §5.2.1 Table3（数字匹配）</t>
        </is>
      </c>
      <c r="K98" s="10" t="inlineStr"/>
      <c r="L98" s="12" t="inlineStr"/>
      <c r="M98" s="12" t="inlineStr"/>
      <c r="N98" s="12" t="inlineStr"/>
      <c r="O98" s="12" t="inlineStr"/>
      <c r="P98" s="12" t="inlineStr"/>
      <c r="Q98" s="12" t="inlineStr"/>
    </row>
    <row r="99">
      <c r="A99" s="9" t="inlineStr">
        <is>
          <t>必核</t>
        </is>
      </c>
      <c r="B99" s="10" t="inlineStr">
        <is>
          <t>TX098</t>
        </is>
      </c>
      <c r="C99" s="10" t="inlineStr">
        <is>
          <t>数值</t>
        </is>
      </c>
      <c r="D99" s="10" t="inlineStr">
        <is>
          <t>§7.3.2 第2段 第2句</t>
        </is>
      </c>
      <c r="E99" s="10" t="inlineStr">
        <is>
          <t>In Table 7 of the stabilized-CG study</t>
        </is>
      </c>
      <c r="F99" s="10" t="inlineStr">
        <is>
          <t>[§7.3.2 第2段 第2句] In Table 7 of the stabilized-CG study, LP-to-integer gaps of 8.22 and 4.96 at 100 tasks are reported without enough detail to establish their units and the common stopping target (Sarkar et al., 2025).</t>
        </is>
      </c>
      <c r="G99" s="10" t="inlineStr">
        <is>
          <t>S070 Sarkar et al., 2025</t>
        </is>
      </c>
      <c r="H99" s="10" t="inlineStr">
        <is>
          <t>Sarkar 2025：Table 7 中 100 个任务时 LP 到整数的间隙为 8.22（经典）和 4.96（学习），原文没有足够细节确定单位（百分比还是绝对值）和共同的停止目标。证据记录 E-A-S070-04（PDF p.11，§5.2.6，Table 7）。请确认表号、数值，以及原文确实没有说明单位。</t>
        </is>
      </c>
      <c r="I99" s="10" t="inlineStr">
        <is>
          <t>Sarkar et al., 2025：02_参考文献/论文全文/S070_Sarkar_2025.pdf</t>
        </is>
      </c>
      <c r="J99" s="10" t="inlineStr">
        <is>
          <t>E-A-S070-04：PDF p.11 §5.2.6 Table7; p.5 Proposition3.0.1/Corollary3.0.1（数字匹配）
E-A-S070-03：PDF pp.10–11 Table6 and§5.2.7 Table8; p.12 Table9（数字匹配）</t>
        </is>
      </c>
      <c r="K99" s="10" t="inlineStr"/>
      <c r="L99" s="12" t="inlineStr"/>
      <c r="M99" s="12" t="inlineStr"/>
      <c r="N99" s="12" t="inlineStr"/>
      <c r="O99" s="12" t="inlineStr"/>
      <c r="P99" s="12" t="inlineStr"/>
      <c r="Q99" s="12" t="inlineStr"/>
    </row>
    <row r="100">
      <c r="A100" s="9" t="inlineStr">
        <is>
          <t>必核</t>
        </is>
      </c>
      <c r="B100" s="10" t="inlineStr">
        <is>
          <t>TX099</t>
        </is>
      </c>
      <c r="C100" s="10" t="inlineStr">
        <is>
          <t>数值</t>
        </is>
      </c>
      <c r="D100" s="10" t="inlineStr">
        <is>
          <t>§7.3.2 第2段 第3–4句</t>
        </is>
      </c>
      <c r="E100" s="10" t="inlineStr">
        <is>
          <t>In the crew-pairing preprint, an example gives</t>
        </is>
      </c>
      <c r="F100" s="10" t="inlineStr">
        <is>
          <t>[§7.3.2 第2段 第3–4句] In the crew-pairing preprint, an example gives LP and integer objectives of 77,325,470 and 77,325,387, and a reported LP-optimal baseline retains reduced cost −83.33 (Kumar and Aghalaya, 2026). For the same minimization model and feasible column set, the LP optimum cannot exceed a feasible integer objective; a feasible negative-reduced-cost column also prevents full-dual feasibility.</t>
        </is>
      </c>
      <c r="G100" s="10" t="inlineStr">
        <is>
          <t>S092 Kumar and Aghalaya, 2026</t>
        </is>
      </c>
      <c r="H100" s="10" t="inlineStr">
        <is>
          <t>Kumar &amp; Aghalaya 2026（预印本，机组配对）：示例中 LP 目标 77,325,470、整数目标 77,325,387（同一最小化模型和列集合下，LP 最优值不应超过可行整数目标）；报告为“LP 最优”的基线仍有约化成本 −83.33（存在负约化成本的可行列说明对偶不完全可行）。证据记录 E-B-S092-02（PDF pp15–16 Table 2；p22 Table 3）。请确认两个数字和 −83.33。</t>
        </is>
      </c>
      <c r="I100" s="10" t="inlineStr">
        <is>
          <t>Kumar and Aghalaya, 2026：02_参考文献/论文全文/S092_Kumar_2026.pdf</t>
        </is>
      </c>
      <c r="J100" s="10" t="inlineStr">
        <is>
          <t>E-B-S092-02：PDF pp15–16 Table2 andp22Table3（数字匹配）</t>
        </is>
      </c>
      <c r="K100" s="10" t="inlineStr"/>
      <c r="L100" s="12" t="inlineStr"/>
      <c r="M100" s="12" t="inlineStr"/>
      <c r="N100" s="12" t="inlineStr"/>
      <c r="O100" s="12" t="inlineStr"/>
      <c r="P100" s="12" t="inlineStr"/>
      <c r="Q100" s="12" t="inlineStr"/>
    </row>
    <row r="101" ht="60" customHeight="1">
      <c r="A101" s="9" t="inlineStr">
        <is>
          <t>必核</t>
        </is>
      </c>
      <c r="B101" s="10" t="inlineStr">
        <is>
          <t>TX100</t>
        </is>
      </c>
      <c r="C101" s="10" t="inlineStr">
        <is>
          <t>本人确认</t>
        </is>
      </c>
      <c r="D101" s="10" t="inlineStr">
        <is>
          <t>§7.3.2 第2段 第6句；§A.3 第2段 第4句</t>
        </is>
      </c>
      <c r="E101" s="10" t="inlineStr">
        <is>
          <t>The author has not contacted either study's</t>
        </is>
      </c>
      <c r="F101" s="10" t="inlineStr">
        <is>
          <t>[§7.3.2 第2段 第6句] The author has not contacted either study's authors and has received no clarification.
[§A.3 第2段 第4句] No author-contact request was sent.</t>
        </is>
      </c>
      <c r="G101" s="10" t="inlineStr"/>
      <c r="H101" s="10" t="inlineStr">
        <is>
          <t>只有你能确认：你没有联系过 Sarkar 2025 和 Kumar &amp; Aghalaya 2026 的作者，也没有收到澄清；§A.3 第2段第4句（“No author-contact request was sent.…”）：没有发送任何作者联系请求。如果实际联系过，必须改写。</t>
        </is>
      </c>
      <c r="I101" s="10" t="inlineStr">
        <is>
          <t>不需要原文（本文自己的推导、计数或你本人的陈述）</t>
        </is>
      </c>
      <c r="J101" s="10" t="inlineStr">
        <is>
          <t>不适用</t>
        </is>
      </c>
      <c r="K101" s="10" t="inlineStr"/>
      <c r="L101" s="12" t="str">
        <v>不适用</v>
      </c>
      <c r="M101" s="12" t="str">
        <v>一致</v>
      </c>
      <c r="N101" s="12" t="str">
        <v>D128 实际研究过程声明：保留原声明。作者已确认属实；文件验证范围与作者确认范围分别记录。
D128 PDF 不适用（作者过程确认）；本次对话中的作者确认，2026-10-15</v>
      </c>
      <c r="O101" s="12" t="str">
        <v>D128 实际研究过程声明：保留原声明。作者已确认属实；文件验证范围与作者确认范围分别记录。</v>
      </c>
      <c r="P101" s="12" t="str">
        <v>Codex（依据作者裁决）</v>
      </c>
      <c r="Q101" s="12" t="str">
        <v>2026-10-15</v>
      </c>
    </row>
    <row r="102">
      <c r="A102" s="15" t="inlineStr">
        <is>
          <t>已在其他表核对</t>
        </is>
      </c>
      <c r="B102" s="15" t="inlineStr">
        <is>
          <t>TX101</t>
        </is>
      </c>
      <c r="C102" s="15" t="inlineStr">
        <is>
          <t>数值</t>
        </is>
      </c>
      <c r="D102" s="15" t="inlineStr">
        <is>
          <t>§7.3.3 第1段 第2句</t>
        </is>
      </c>
      <c r="E102" s="15" t="inlineStr">
        <is>
          <t>The two-arc-fixing study's selected set and asymmetric</t>
        </is>
      </c>
      <c r="F102" s="15" t="inlineStr">
        <is>
          <t>[§7.3.3 第1段 第2句] The two-arc-fixing study's selected set and asymmetric limits restrict interpretation of its 19% reduction (Desaulniers et al., 2020).</t>
        </is>
      </c>
      <c r="G102" s="15" t="inlineStr">
        <is>
          <t>S045 Desaulniers et al., 2020</t>
        </is>
      </c>
      <c r="H102" s="15" t="inlineStr">
        <is>
          <t>Desaulniers 2020 的约 19% 减少（基于几何运行时间比）、选择的 459 个算例和不对称的时间限制，与 Table 4 第10行一致。</t>
        </is>
      </c>
      <c r="I102" s="15" t="inlineStr">
        <is>
          <t>Desaulniers et al., 2020：02_参考文献/论文全文/S045_Desaulniers_2020.pdf</t>
        </is>
      </c>
      <c r="J102" s="15" t="inlineStr">
        <is>
          <t>见 3_Table4核对 第10行</t>
        </is>
      </c>
      <c r="K102" s="15" t="inlineStr">
        <is>
          <t>3_Table4核对 第10行</t>
        </is>
      </c>
      <c r="L102" s="15" t="inlineStr"/>
      <c r="M102" s="15" t="inlineStr"/>
      <c r="N102" s="15" t="inlineStr"/>
      <c r="O102" s="15" t="inlineStr"/>
      <c r="P102" s="15" t="inlineStr"/>
      <c r="Q102" s="15" t="inlineStr"/>
    </row>
    <row r="103">
      <c r="A103" s="9" t="inlineStr">
        <is>
          <t>必核</t>
        </is>
      </c>
      <c r="B103" s="10" t="inlineStr">
        <is>
          <t>TX102</t>
        </is>
      </c>
      <c r="C103" s="10" t="inlineStr">
        <is>
          <t>数值</t>
        </is>
      </c>
      <c r="D103" s="10" t="inlineStr">
        <is>
          <t>§7.3.3 第1段 第3–5句；Appendix C 第2段 第1句</t>
        </is>
      </c>
      <c r="E103" s="10" t="inlineStr">
        <is>
          <t>A more recent selective-pricing study has accepted</t>
        </is>
      </c>
      <c r="F103" s="10" t="inlineStr">
        <is>
          <t>[§7.3.3 第1段 第3–5句] A more recent selective-pricing study has accepted root endpoints in 15 of 24 conditions, against 24 of 24 for exact-all pricing. Exact calls decrease in all 15 jointly accepted comparisons, but time increases in 14 (Zhang et al., 2026). Its small tree checks do not complete an integer proof.
[Appendix C 第2段 第1句] The published selective-pricing case S102 remains a located caution about calls and elapsed time, but its missing online File S1 prevents a complete independent reconstruction of the run records.</t>
        </is>
      </c>
      <c r="G103" s="10" t="inlineStr">
        <is>
          <t>S102 Zhang et al., 2026</t>
        </is>
      </c>
      <c r="H103" s="10" t="inlineStr">
        <is>
          <t>Zhang 2026：根节点终点被接受的条件数为 CSDW-S 24 个中 15 个，精确全定价（CSDW-X）24 个中 24 个；15 个共同接受的比较中精确调用次数全部减少，但 14 个的时间增加；小规模树检查没有完成整数证明（6 个中 0 个）；在线 File S1 缺失，无法完整重建运行记录。证据记录 E-U-S102-07/08（PDF pp20–21，§6.2，Table 2）。</t>
        </is>
      </c>
      <c r="I103" s="10" t="inlineStr">
        <is>
          <t>Zhang et al., 2026：02_参考文献/论文全文/CL002_Zhang_2026.pdf</t>
        </is>
      </c>
      <c r="J103" s="10" t="inlineStr">
        <is>
          <t>E-U-S102-07：PDF pp20–21 §6.2 Table2; p21 visually checked（数字匹配）
E-U-S102-08：PDF pp20–21 §6.2 Table2; p21 visually checked（数字匹配）</t>
        </is>
      </c>
      <c r="K103" s="10" t="inlineStr">
        <is>
          <t>4_S2核对 S102</t>
        </is>
      </c>
      <c r="L103" s="12" t="inlineStr"/>
      <c r="M103" s="12" t="inlineStr"/>
      <c r="N103" s="12" t="inlineStr"/>
      <c r="O103" s="12" t="inlineStr"/>
      <c r="P103" s="12" t="inlineStr"/>
      <c r="Q103" s="12" t="inlineStr"/>
    </row>
    <row r="104">
      <c r="A104" s="13" t="inlineStr">
        <is>
          <t>建议核</t>
        </is>
      </c>
      <c r="B104" s="10" t="inlineStr">
        <is>
          <t>TX103</t>
        </is>
      </c>
      <c r="C104" s="10" t="inlineStr">
        <is>
          <t>事实</t>
        </is>
      </c>
      <c r="D104" s="10" t="inlineStr">
        <is>
          <t>§7.4 第1段 第5句</t>
        </is>
      </c>
      <c r="E104" s="10" t="inlineStr">
        <is>
          <t>Parent-instance separation should be distinguished from transfer</t>
        </is>
      </c>
      <c r="F104" s="10" t="inlineStr">
        <is>
          <t>[§7.4 第1段 第5句] Parent-instance separation should be distinguished from transfer across sizes, deeper nodes or new cuts (Gerbaux et al., 2025; Morabit et al., 2023; Wang and Khir, 2026; Zhao et al., 2026).</t>
        </is>
      </c>
      <c r="G104" s="10" t="inlineStr">
        <is>
          <t>S081 Gerbaux et al., 2025；S055 Morabit et al., 2023；S063 Wang and Khir, 2026；S097 Zhao et al., 2026</t>
        </is>
      </c>
      <c r="H104" s="10" t="inlineStr">
        <is>
          <t>确认 Gerbaux 2025、Morabit 2023、Wang &amp; Khir 2026、Zhao 2026 与“母实例分离应与跨规模、更深节点或新割的迁移相区分”相关。</t>
        </is>
      </c>
      <c r="I104" s="10" t="inlineStr">
        <is>
          <t>Gerbaux et al., 2025：02_参考文献/论文全文/S081_Gerbaux_2025.pdf
Morabit et al., 2023：02_参考文献/论文全文/S055_Morabit_2023.pdf
Wang and Khir, 2026：02_参考文献/论文全文/S063_Wang_2026.pdf
Zhao et al., 2026：02_参考文献/论文全文/S097_Zhao_2026.pdf</t>
        </is>
      </c>
      <c r="J104" s="10" t="inlineStr">
        <is>
          <t>未自动匹配到对应记录；数据包中有 S055 6 条、S063 4 条、S081 5 条、S097 4 条证据记录（data/release_1_2/evidence.csv，按 study_id 筛选）</t>
        </is>
      </c>
      <c r="K104" s="10" t="inlineStr"/>
      <c r="L104" s="12" t="inlineStr"/>
      <c r="M104" s="12" t="inlineStr"/>
      <c r="N104" s="12" t="inlineStr"/>
      <c r="O104" s="12" t="inlineStr"/>
      <c r="P104" s="12" t="inlineStr"/>
      <c r="Q104" s="12" t="inlineStr"/>
    </row>
    <row r="105">
      <c r="A105" s="13" t="inlineStr">
        <is>
          <t>建议核</t>
        </is>
      </c>
      <c r="B105" s="10" t="inlineStr">
        <is>
          <t>TX104</t>
        </is>
      </c>
      <c r="C105" s="10" t="inlineStr">
        <is>
          <t>事实</t>
        </is>
      </c>
      <c r="D105" s="10" t="inlineStr">
        <is>
          <t>§8.1 第2段 第5句</t>
        </is>
      </c>
      <c r="E105" s="10" t="inlineStr">
        <is>
          <t>In a multi-block model, closure would still</t>
        </is>
      </c>
      <c r="F105" s="10" t="inlineStr">
        <is>
          <t>[§8.1 第2段 第5句] In a multi-block model, closure would still require compatible coverage of every relevant block, including blocks that the policy repeatedly ranks last (Bulaich Mehamdi et al., 2025; Koutecká et al., 2025; Zhang et al., 2026).</t>
        </is>
      </c>
      <c r="G105" s="10" t="inlineStr">
        <is>
          <t>S032 Bulaich Mehamdi et al., 2025；S058 Koutecká et al., 2025；S102 Zhang et al., 2026</t>
        </is>
      </c>
      <c r="H105" s="10" t="inlineStr">
        <is>
          <t>确认多块模型的闭合需要覆盖所有相关块（包括策略总是排在最后的块），与三篇研究的设定一致。</t>
        </is>
      </c>
      <c r="I105" s="10" t="inlineStr">
        <is>
          <t>Bulaich Mehamdi et al., 2025：02_参考文献/论文全文/S032_Mehamdi_2025.pdf
Koutecká et al., 2025：02_参考文献/论文全文/S058_Koutecka_2025.pdf
Zhang et al., 2026：02_参考文献/论文全文/CL002_Zhang_2026.pdf</t>
        </is>
      </c>
      <c r="J105" s="10" t="inlineStr">
        <is>
          <t>E-U-S102-02：PDF pp9–11 Eq15–16, Assumption1 and Proposition2; p16 Algorithm1 lines18–32,47–49（关键词匹配，仅供参考）</t>
        </is>
      </c>
      <c r="K105" s="10" t="inlineStr"/>
      <c r="L105" s="12" t="inlineStr"/>
      <c r="M105" s="12" t="inlineStr"/>
      <c r="N105" s="12" t="inlineStr"/>
      <c r="O105" s="12" t="inlineStr"/>
      <c r="P105" s="12" t="inlineStr"/>
      <c r="Q105" s="12" t="inlineStr"/>
    </row>
    <row r="106">
      <c r="A106" s="9" t="inlineStr">
        <is>
          <t>必核</t>
        </is>
      </c>
      <c r="B106" s="10" t="inlineStr">
        <is>
          <t>TX105</t>
        </is>
      </c>
      <c r="C106" s="10" t="inlineStr">
        <is>
          <t>公式</t>
        </is>
      </c>
      <c r="D106" s="10" t="inlineStr">
        <is>
          <t>§8.2 第2段</t>
        </is>
      </c>
      <c r="E106" s="10" t="inlineStr">
        <is>
          <t>For graph filtering, a policy might choose</t>
        </is>
      </c>
      <c r="F106" s="10" t="inlineStr">
        <is>
          <t>[§8.2 第2段] For graph filtering, a policy might choose an initial subgraph and an expansion schedule. Small subgraphs save work when useful routes survive, but false exclusions can move the entire expense into restoration. The relevant loss is therefore the total cost in Eq. (13), conditional on when and where errors occur. Balanced classification accuracy treats retaining an unnecessary arc and deleting a critical arc as symmetric mistakes; the solver often pays very different costs for them. The two-customer example gives a minimal demonstration: a filter with only two wrong exclusions changes a valid closure into an invalid one unless the missing arcs are restored.</t>
        </is>
      </c>
      <c r="G106" s="10" t="inlineStr"/>
      <c r="H106" s="10" t="inlineStr">
        <is>
          <t>本文推理，无需原文：两客户例子中，只错删两条弧的过滤器就会把有效闭合变成无效闭合（除非恢复缺失的弧）。确认与 3.2 节例子一致（删除的是两条客户间弧），并确认对 Eq. (13) 的引用正确。</t>
        </is>
      </c>
      <c r="I106" s="10" t="inlineStr">
        <is>
          <t>不需要原文（本文自己的推导、计数或你本人的陈述）</t>
        </is>
      </c>
      <c r="J106" s="10" t="inlineStr">
        <is>
          <t>不适用</t>
        </is>
      </c>
      <c r="K106" s="10" t="inlineStr"/>
      <c r="L106" s="12" t="inlineStr"/>
      <c r="M106" s="12" t="inlineStr"/>
      <c r="N106" s="12" t="inlineStr"/>
      <c r="O106" s="12" t="inlineStr"/>
      <c r="P106" s="12" t="inlineStr"/>
      <c r="Q106" s="12" t="inlineStr"/>
    </row>
    <row r="107" ht="101" customHeight="1">
      <c r="A107" s="13" t="inlineStr">
        <is>
          <t>建议核</t>
        </is>
      </c>
      <c r="B107" s="10" t="inlineStr">
        <is>
          <t>TX106</t>
        </is>
      </c>
      <c r="C107" s="10" t="inlineStr">
        <is>
          <t>事实</t>
        </is>
      </c>
      <c r="D107" s="10" t="inlineStr">
        <is>
          <t>§8.3 第1段 第3句</t>
        </is>
      </c>
      <c r="E107" s="10" t="inlineStr">
        <is>
          <t>Existing open pricing software and matched-state experiments</t>
        </is>
      </c>
      <c r="F107" s="10" t="inlineStr">
        <is>
          <t>[§8.3 第1段 第3句] Existing open pricing software and matched-state experiments provide a practical starting point (Pessoa et al., 2020; Salani et al., 2024; Tilk et al., 2017).</t>
        </is>
      </c>
      <c r="G107" s="10" t="inlineStr">
        <is>
          <t>S039 Pessoa et al., 2020；S030 Salani et al., 2024；S037 Tilk et al., 2017</t>
        </is>
      </c>
      <c r="H107" s="10" t="inlineStr">
        <is>
          <t>确认 Pessoa 2020、Salani 2024、Tilk 2017 提供了公开的定价软件或匹配状态实验。若某篇没有公开代码，需要改写。</t>
        </is>
      </c>
      <c r="I107" s="10" t="inlineStr">
        <is>
          <t>Pessoa et al., 2020：02_参考文献/论文全文/S039_Pessoa_2020.pdf
Salani et al., 2024：02_参考文献/论文全文/S030_Salani_2024.pdf
Tilk et al., 2017：02_参考文献/论文全文/S037_Tilk_2017.pdf</t>
        </is>
      </c>
      <c r="J107" s="10" t="inlineStr">
        <is>
          <t>未自动匹配到对应记录；数据包中有 S030 5 条、S037 5 条、S039 8 条证据记录（data/release_1_2/evidence.csv，按 study_id 筛选）</t>
        </is>
      </c>
      <c r="K107" s="10" t="inlineStr"/>
      <c r="L107" s="12" t="inlineStr"/>
      <c r="M107" s="12" t="str">
        <v>需修改</v>
      </c>
      <c r="N107" s="12" t="str">
        <v>按裁决表文献取舍建议及 codex_辅助记录.xlsx 中本编号原文依据执行；仅修改断言或对应引用，不删除整篇文献。</v>
      </c>
      <c r="O107" s="12" t="str">
        <v>已落实于 v1.8 稿件。
Instance libraries are necessary for solver evaluation, but an instance alone does not define the pricing problem encountered halfway through a solve. A reusable state library could make pricing research accessible without requiring every group to reproduce a full BPC implementation. Open pricing software provides a starting point for implementation (Salani et al., 2024), while matched-state pricing experiments provide a comparison design (Tilk et al., 2017). The proposed library would add explicit state provenance and certificate targets.</v>
      </c>
      <c r="P107" s="12" t="str">
        <v>Codex（依据作者裁决）</v>
      </c>
      <c r="Q107" s="12" t="str">
        <v>2026-10-15</v>
      </c>
    </row>
    <row r="108">
      <c r="A108" s="9" t="inlineStr">
        <is>
          <t>必核</t>
        </is>
      </c>
      <c r="B108" s="10" t="inlineStr">
        <is>
          <t>TX107</t>
        </is>
      </c>
      <c r="C108" s="10" t="inlineStr">
        <is>
          <t>公式</t>
        </is>
      </c>
      <c r="D108" s="10" t="inlineStr">
        <is>
          <t>§8.4 第3段</t>
        </is>
      </c>
      <c r="E108" s="10" t="inlineStr">
        <is>
          <t>Training must also be budgeted. If offline</t>
        </is>
      </c>
      <c r="F108" s="10" t="inlineStr">
        <is>
          <t>[§8.4 第3段] Training must also be budgeted. If offline preparation costs C and net saving per future instance is d in comparable resource units, positive d requires at least ceil(C/d) similar instances for amortization. Retraining increases that horizon. Comparing immediate and endpoint-cost objectives in the same prospective solver would reveal whether the extra trajectory collection is worthwhile. This remains a proposed experiment, not an established gain.</t>
        </is>
      </c>
      <c r="G108" s="10" t="inlineStr"/>
      <c r="H108" s="10" t="inlineStr">
        <is>
          <t>验算摊销公式：离线准备成本为 C，每个未来实例的净节省为 d（同一资源单位），d &gt; 0 时至少需要 ceil(C/d) 个相似实例才能摊销；ceil 表示向上取整。</t>
        </is>
      </c>
      <c r="I108" s="10" t="inlineStr">
        <is>
          <t>不需要原文（本文自己的推导、计数或你本人的陈述）</t>
        </is>
      </c>
      <c r="J108" s="10" t="inlineStr">
        <is>
          <t>不适用</t>
        </is>
      </c>
      <c r="K108" s="10" t="inlineStr"/>
      <c r="L108" s="12" t="inlineStr"/>
      <c r="M108" s="12" t="inlineStr"/>
      <c r="N108" s="12" t="inlineStr"/>
      <c r="O108" s="12" t="inlineStr"/>
      <c r="P108" s="12" t="inlineStr"/>
      <c r="Q108" s="12" t="inlineStr"/>
    </row>
    <row r="109">
      <c r="A109" s="13" t="inlineStr">
        <is>
          <t>建议核</t>
        </is>
      </c>
      <c r="B109" s="10" t="inlineStr">
        <is>
          <t>TX108</t>
        </is>
      </c>
      <c r="C109" s="10" t="inlineStr">
        <is>
          <t>背景</t>
        </is>
      </c>
      <c r="D109" s="10" t="inlineStr">
        <is>
          <t>§A.1 第1段 第1句</t>
        </is>
      </c>
      <c r="E109" s="10" t="inlineStr">
        <is>
          <t>Figure A.1 displays the recorded selection counts</t>
        </is>
      </c>
      <c r="F109" s="10" t="inlineStr">
        <is>
          <t>[§A.1 第1段 第1句] Figure A.1 displays the recorded selection counts in a PRISMA 2020-style layout (Page et al., 2021).</t>
        </is>
      </c>
      <c r="G109" s="10" t="inlineStr">
        <is>
          <t>S008 Page et al., 2021</t>
        </is>
      </c>
      <c r="H109" s="10" t="inlineStr">
        <is>
          <t>确认引用 PRISMA 2020（Page et al., 2021）的表述恰当：本文是目标性综述，Figure A.1 只是“PRISMA 2020 风格的布局”，不是完整的 PRISMA 流程。</t>
        </is>
      </c>
      <c r="I109" s="10" t="inlineStr">
        <is>
          <t>Page et al., 2021：02_参考文献/论文全文/ 中以 S008_ 开头的文件</t>
        </is>
      </c>
      <c r="J109" s="10" t="inlineStr">
        <is>
          <t>未自动匹配到对应记录；数据包中有 S008 2 条证据记录（data/release_1_2/evidence.csv，按 study_id 筛选）</t>
        </is>
      </c>
      <c r="K109" s="10" t="inlineStr"/>
      <c r="L109" s="12" t="inlineStr"/>
      <c r="M109" s="12" t="inlineStr"/>
      <c r="N109" s="12" t="inlineStr"/>
      <c r="O109" s="12" t="inlineStr"/>
      <c r="P109" s="12" t="inlineStr"/>
      <c r="Q109" s="12" t="inlineStr"/>
    </row>
    <row r="110" ht="231" customHeight="1">
      <c r="A110" s="9" t="inlineStr">
        <is>
          <t>必核</t>
        </is>
      </c>
      <c r="B110" s="10" t="inlineStr">
        <is>
          <t>TX109</t>
        </is>
      </c>
      <c r="C110" s="10" t="inlineStr">
        <is>
          <t>本人确认</t>
        </is>
      </c>
      <c r="D110" s="10" t="inlineStr">
        <is>
          <t>§A.1 第2段 第1–4句；§A.1 第3段 第1–5句</t>
        </is>
      </c>
      <c r="E110" s="10" t="inlineStr">
        <is>
          <t>In the logged Crossref export, 180 rows</t>
        </is>
      </c>
      <c r="F110" s="10" t="inlineStr">
        <is>
          <t>[§A.1 第2段 第1–4句] In the logged Crossref export, 180 rows reduce to 170 distinct DOIs. Of these, 52 were excluded at title, 39 were already in the full-text frame and 79 required follow-up at title and available-abstract level. Follow-up linked one earlier stabilization report to an included family, excluded one paper in which CG supplies the action space for reinforcement learning, added three studies whose full texts were then obtained and read (S102–S104), and left 74 leads unselected. Unselected means not pursued in this sample, not ineligible; Supplementary Table S1 lists all 74 with their metadata and a title-level category.
[§A.1 第3段 第1–5句] With these three additions, the author-assembled full-text frame contains 104 reports from 103 families; one erratum is attached to its review. Four adjacent surveys (S006, S009, S010 and S011) were excluded from method coding because they do not report a primary within-CG intervention; two of them, S009 and S011, are cited only as context. The remaining 99 families comprise 79 core, 8 supporting and 12 background families. The targeted search of 14 October added one fully read core family on diving (S105) and two further reports of included families (FFCG and in-out smoothing), which are not new studies. The full-text cohort thus has 100 families, of which the 88 core or supporting families contribute the 146 variants.</t>
        </is>
      </c>
      <c r="G110" s="10" t="inlineStr">
        <is>
          <t>S102 Zhang et al., 2026；S103 Chen et al., 2026；S104 Jin and Yu, 2023；S105 Sadykov et al., 2019</t>
        </is>
      </c>
      <c r="H110" s="10" t="inlineStr">
        <is>
          <t>选择流程：Crossref 导出 180 行 → 170 个不同 DOI；52 个按标题排除，39 个已在全文框架中，79 个需要跟进；跟进结果：1 篇早期稳定化报告关联到已纳入研究族，1 篇（CG 为强化学习提供动作空间）被排除，新增 3 篇（S102–S104），74 条未选。4 篇相邻综述（S006、S009、S010、S011）被排除编码，其中 S009、S011 只作为语境引用。数字来自数据包记录，但“排除原因”和“新增依据”请你确认属实。</t>
        </is>
      </c>
      <c r="I110" s="10" t="inlineStr">
        <is>
          <t>Zhang et al., 2026：02_参考文献/论文全文/CL002_Zhang_2026.pdf
Chen et al., 2026：02_参考文献/论文全文/CL014_Chen_2026.pdf
Jin and Yu, 2023：02_参考文献/论文全文/CL026_Jin_2023.pdf
Sadykov et al., 2019：90_过程归档/大修_v1.5/fulltext/Sadykov/PDFs/Primal_Heuristics_for_Branch_and_Price.pdf</t>
        </is>
      </c>
      <c r="J110" s="10" t="inlineStr">
        <is>
          <t>不适用</t>
        </is>
      </c>
      <c r="K110" s="10" t="inlineStr"/>
      <c r="L110" s="12" t="inlineStr"/>
      <c r="M110" s="12" t="str">
        <v>需修改</v>
      </c>
      <c r="N110" s="12" t="str">
        <v>D033 稿件原文（定位摘录）：仅完成 CL074/CL075 去重时：74 条未选记录对应 73 个独立作品；CA 20 条对应 19 个独立作品；79 条线索对应 78 个独立作品；170 个不同 DOI 对应 169 个独立作品。DOI 数仍为 170。
以上不是最终重新分类总数，CL024 等仍待定。
D129 实际研究过程声明：保留原声明。作者已确认属实；文件验证范围与作者确认范围分别记录。
D033 PDF 不适用（注册元数据）；IEEE向Crossref注册的两条DOI记录；2026-10-15
D129 PDF 不适用（作者过程确认）
S006:2–3
S009:1;12–17;23–26
S010:1–2
S011:1;11;27
稿件PDF32；数据文件不适用PDF页码；本次对话中的作者确认，2026-10-15
摘要;综述范围
摘要及方法综述
摘要;引言
摘要;§3;§3.5
Figure A.1；search及screening CSV</v>
      </c>
      <c r="O110" s="12" t="str">
        <v>已落实于 v1.8 稿件。
Figure A.1. Discovery and full-text assessment streams. The logged Crossref export (left) and the author-assembled full-text frame (right) are shown separately because no deduplicated total across all public sources was recorded. The 74 unselected records represent 73 independent works (Supplementary Table S1); these were not assessed in full text and are not exclusions. Rendered from the recorded counts using the locally updated Python script (Section 2.3).
In the logged Crossref export, 180 rows reduce to 170 distinct DOIs representing 169 independent works after CL074/CL075 are linked to the same work. At the DOI-record level, 52 were excluded at title, 39 were already in the full-text frame and 79 required follow-up. Those 79 lead records represent 78 independent works. Follow-up linked one earlier stabilization report to an included family, excluded one paper in which CG supplies the action space for reinforcement learning, added three studies whose full texts were obtained and read (S102–S104), and left 74 unselected records representing 73 works. Supplementary Table S1 retains the two DOI records as aliases of one work. Category assignments that remain unresolved are not presented as finalized category totals.</v>
      </c>
      <c r="P110" s="12" t="str">
        <v>Codex（依据作者裁决）</v>
      </c>
      <c r="Q110" s="12" t="str">
        <v>2026-10-15</v>
      </c>
    </row>
    <row r="111">
      <c r="A111" s="13" t="inlineStr">
        <is>
          <t>建议核</t>
        </is>
      </c>
      <c r="B111" s="10" t="inlineStr">
        <is>
          <t>TX110</t>
        </is>
      </c>
      <c r="C111" s="10" t="inlineStr">
        <is>
          <t>事实</t>
        </is>
      </c>
      <c r="D111" s="10" t="inlineStr">
        <is>
          <t>§A.2 第3段</t>
        </is>
      </c>
      <c r="E111" s="10" t="inlineStr">
        <is>
          <t>The 12 fully read background families do</t>
        </is>
      </c>
      <c r="F111" s="10" t="inlineStr">
        <is>
          <t>[§A.2 第3段] The 12 fully read background families do not contribute to Figure 3 or the layer counts: S001 (Lübbecke and Desrosiers, 2005), S002 (Petris et al., 2025), S003 (Costa et al., 2019), S004 (Zhou et al., 2025), S005 (Fan et al., 2026), S007 (Schryen and Sperling, 2023), S008 (Page et al., 2021), S012 (Feillet, 2010), S013 (Di Puglia Pugliese and Guerriero, 2013), S014 (Wilhelm, 2001), S035 (Barnhart et al., 1998) and S040 (Vanderbeck, 2005). The erratum is linked to S014 and is not a second family.</t>
        </is>
      </c>
      <c r="G111" s="10" t="inlineStr">
        <is>
          <t>S001 Lübbecke and Desrosiers, 2005；S002 Petris et al., 2025；S003 Costa et al., 2019；S004 Zhou et al., 2025；S005 Fan et al., 2026；S007 Schryen and Sperling, 2023；S008 Page et al., 2021；S012 Feillet, 2010；S013 Di Puglia Pugliese and Guerriero, 2013；S014 Wilhelm, 2001；S035 Barnhart et al., 1998；S040 Vanderbeck, 2005</t>
        </is>
      </c>
      <c r="H111" s="10" t="inlineStr">
        <is>
          <t>确认 12 个背景研究族的编号与引用一一对应，勘误附在 S014（Wilhelm 2001）上。</t>
        </is>
      </c>
      <c r="I111" s="10" t="inlineStr">
        <is>
          <t>Lübbecke and Desrosiers, 2005：02_参考文献/论文全文/ 中以 S001_ 开头的文件
Petris et al., 2025：02_参考文献/论文全文/ 中以 S002_ 开头的文件
Costa et al., 2019：02_参考文献/论文全文/ 中以 S003_ 开头的文件
Zhou et al., 2025：02_参考文献/论文全文/ 中以 S004_ 开头的文件
Fan et al., 2026：02_参考文献/论文全文/ 中以 S005_ 开头的文件
Schryen and Sperling, 2023：02_参考文献/论文全文/ 中以 S007_ 开头的文件
Page et al., 2021：02_参考文献/论文全文/ 中以 S008_ 开头的文件
Feillet, 2010：02_参考文献/论文全文/ 中以 S012_ 开头的文件
Di Puglia Pugliese and Guerriero, 2013：02_参考文献/论文全文/ 中以 S013_ 开头的文件
Wilhelm, 2001：02_参考文献/论文全文/ 中以 S014_ 开头的文件
Barnhart et al., 1998：02_参考文献/论文全文/ 中以 S035_ 开头的文件
Vanderbeck, 2005：02_参考文献/论文全文/ 中以 S040_ 开头的文件</t>
        </is>
      </c>
      <c r="J111" s="10" t="inlineStr">
        <is>
          <t>未自动匹配到对应记录；数据包中有 S001 5 条、S002 5 条、S003 5 条、S004 4 条、S005 5 条、S007 2 条、S008 2 条、S012 3 条、S013 3 条、S014 5 条、S035 5 条、S040 5 条证据记录（data/release_1_2/evidence.csv，按 study_id 筛选）</t>
        </is>
      </c>
      <c r="K111" s="10" t="inlineStr">
        <is>
          <t>8_参考文献核对</t>
        </is>
      </c>
      <c r="L111" s="12" t="inlineStr"/>
      <c r="M111" s="12" t="inlineStr"/>
      <c r="N111" s="12" t="inlineStr"/>
      <c r="O111" s="12" t="inlineStr"/>
      <c r="P111" s="12" t="inlineStr"/>
      <c r="Q111" s="12" t="inlineStr"/>
    </row>
    <row r="112" ht="60" customHeight="1">
      <c r="A112" s="9" t="inlineStr">
        <is>
          <t>必核</t>
        </is>
      </c>
      <c r="B112" s="10" t="inlineStr">
        <is>
          <t>TX111</t>
        </is>
      </c>
      <c r="C112" s="10" t="inlineStr">
        <is>
          <t>访问</t>
        </is>
      </c>
      <c r="D112" s="10" t="inlineStr">
        <is>
          <t>Table A.2 第1行；Table A.2 第2行；Table A.2 第3行；Table A.2 第4行</t>
        </is>
      </c>
      <c r="E112" s="10" t="inlineStr">
        <is>
          <t>(Sadykov et al., 2019)</t>
        </is>
      </c>
      <c r="F112" s="10" t="inlineStr">
        <is>
          <t>[Table A.2 第1行] (Sadykov et al., 2019) | Full HAL v3 author manuscript, 37 PDF pages; journal 2019 | CORE family S105, eight variants; incumbent heuristics coded E3
[Table A.2 第2行] (Pessoa et al., 2013) | Full extended HAL v3 report, 19 PDF pages | Earlier report of S018; smoothing history and recovery mechanism; no duplicate family
[Table A.2 第3行] (Hu et al., 2024) | Full arXiv v1, 12 PDF pages including appendices | Additional report of S059; supplies the training and test-set sizes
[Table A.2 第4行] (Kruber et al., 2017) | Full nine-page author-hosted proceedings paper | Upstream solver/decomposition selection; contextual, outside six within-decomposition layers</t>
        </is>
      </c>
      <c r="G112" s="10" t="inlineStr">
        <is>
          <t>S105 Sadykov et al., 2019；Pessoa et al., 2013；Hu et al., 2024；Kruber et al., 2017</t>
        </is>
      </c>
      <c r="H112" s="10" t="inlineStr">
        <is>
          <t>Table A.2 前四行的访问信息：Sadykov 2019 读的是 HAL v3 作者稿，37 页 PDF（期刊版 2019）；Pessoa 2013 读的是 HAL v3 扩展报告，19 页；Hu 2024 读的是 arXiv v1，12 页（含附录）；Kruber 2017 读的是作者网站上的 9 页会议论文。请打开本地文件确认版本号和页数。</t>
        </is>
      </c>
      <c r="I112" s="10" t="inlineStr">
        <is>
          <t>Sadykov et al., 2019：90_过程归档/大修_v1.5/fulltext/Sadykov/PDFs/Primal_Heuristics_for_Branch_and_Price.pdf
Pessoa et al., 2013：90_过程归档/大修_v1.5/fulltext/Pessoa/PDFs/In-Out_Separation_and_Column_Generation_Stabilization_by_Dual_Price_Smoothing.pdf
Hu et al., 2024：90_过程归档/大修_v1.5/fulltext/Hu/PDFs/FFCG_extended_arXiv_version.pdf
Kruber et al., 2017：90_过程归档/大修_v1.5/fulltext/Kruber/PDFs/Learning_When_to_Use_a_Decomposition.pdf</t>
        </is>
      </c>
      <c r="J112" s="10" t="inlineStr">
        <is>
          <t>E-T-S018-04：PDF pp13–15 §7; printed350–352（数字匹配）</t>
        </is>
      </c>
      <c r="K112" s="10" t="inlineStr"/>
      <c r="L112" s="12" t="inlineStr"/>
      <c r="M112" s="12" t="str">
        <v>需修改</v>
      </c>
      <c r="N112" s="12" t="str">
        <v>D007 稿件原文（定位摘录）：CORE family S105, eight variants; seven variants coded E3, with the root restricted-master integer heuristic (S105-M7) coded E2.
D007 PDF 19;22–24;28–30；§5.5;§6;Tables5,8,9</v>
      </c>
      <c r="O112" s="12" t="str">
        <v>D007 稿件原文（定位摘录）：CORE family S105, eight variants; seven variants coded E3, with the root restricted-master integer heuristic (S105-M7) coded E2.</v>
      </c>
      <c r="P112" s="12" t="str">
        <v>Codex（依据作者裁决）</v>
      </c>
      <c r="Q112" s="12" t="str">
        <v>2026-10-15</v>
      </c>
    </row>
    <row r="113">
      <c r="A113" s="13" t="inlineStr">
        <is>
          <t>建议核</t>
        </is>
      </c>
      <c r="B113" s="10" t="inlineStr">
        <is>
          <t>TX112</t>
        </is>
      </c>
      <c r="C113" s="10" t="inlineStr">
        <is>
          <t>访问</t>
        </is>
      </c>
      <c r="D113" s="10" t="inlineStr">
        <is>
          <t>Table A.2 第5行；Table A.2 第6行；Table A.2 第7行；Table A.2 第8行；Table A.2 第9行；Table A.2 第10行</t>
        </is>
      </c>
      <c r="E113" s="10" t="inlineStr">
        <is>
          <t>(Gasse et al., 2019; Khalil et al.</t>
        </is>
      </c>
      <c r="F113" s="10" t="inlineStr">
        <is>
          <t>[Table A.2 第5行] (Gasse et al., 2019; Khalil et al., 2016) | Official proceedings PDFs; abstract and introductory mechanism passages inspected | General MIP learning-to-branch comparators; no B&amp;P effect transferred
[Table A.2 第6行] (Bengio et al., 2021; Lodi and Zarpellon, 2017; Scavuzzo et al., 2026) | Full files available; targeted contextual passages inspected | Broad learning and branch-and-bound context; no new primary-study coding
[Table A.2 第7行] (Briant et al., 2008; Wentges, 1997) | Publisher metadata/abstract and identified discussion in full Pessoa report; original PDFs not obtained | Historical smoothing and bundle alternatives; no source-level numerical extraction
[Table A.2 第8行] (Boland et al., 2006; Jepsen et al., 2008; Pecin et al., 2017) | Metadata/available abstracts and contextual treatment in accessed reviews/monograph; original full texts not obtained | State-space and cut lineage; no new empirical or proof coding
[Table A.2 第9行] (Irnich et al., 2010; Martinelli et al., 2014) | Already in fully read corpus | ng-DSSR and path-reduced-cost elimination brought into the main discussion
[Table A.2 第10行] (Desaulniers et al., 2005; Desrosiers et al., 2026) | 2005 volume metadata/contents and already read chapter; 2026 OA book selected sections on pricing, stabilization and cuts | Monograph context, not two additional primary studies</t>
        </is>
      </c>
      <c r="G113" s="10" t="inlineStr">
        <is>
          <t>Gasse et al., 2019；Khalil et al., 2016；Bengio et al., 2021；S009 Lodi and Zarpellon, 2017；S011 Scavuzzo et al., 2026；Briant et al., 2008；Wentges, 1997；Boland et al., 2006；Jepsen et al., 2008；Pecin et al., 2017；S044 Irnich et al., 2010；S038 Martinelli et al., 2014；Desaulniers et al., 2005；Desrosiers et al., 2026</t>
        </is>
      </c>
      <c r="H113" s="10" t="inlineStr">
        <is>
          <t>Table A.2 其余 6 行：确认每行“访问与版本”的描述符合实际，例如 Gasse/Khalil 只看了摘要和引言中的机制段落；Briant、Wentges、Boland、Jepsen、Pecin 原文未获取；Desrosiers 2026 开放获取专著只看了定价、稳定化和割的章节。</t>
        </is>
      </c>
      <c r="I113" s="10" t="inlineStr">
        <is>
          <t>Gasse et al., 2019：90_过程归档/大修_v1.5/fulltext/Gasse/PDFs/Exact_Combinatorial_Optimization_with_Graph_Convolutional_Neural_Networks.pdf
Khalil et al., 2016：90_过程归档/大修_v1.5/fulltext/Khalil/PDFs/Learning_to_Branch_in_Mixed_Integer_Programming.pdf
Bengio et al., 2021：90_过程归档/大修_v1.5/fulltext/Bengio/PDFs/Machine_Learning_for_Combinatorial_Optimization.pdf
Lodi and Zarpellon, 2017：02_参考文献/论文全文/ 中以 S009_ 开头的文件
Scavuzzo et al., 2026：02_参考文献/论文全文/ 中以 S011_ 开头的文件
Briant et al., 2008：未获取原文：按 DOI 打开出版社页面或摘要核对
Wentges, 1997：未获取原文：按 DOI 打开出版社页面或摘要核对
Boland et al., 2006：未获取原文：按 DOI 打开出版社页面或摘要核对
Jepsen et al., 2008：未获取原文：按 DOI 打开出版社页面或摘要核对
Pecin et al., 2017：未获取原文：按 DOI 打开出版社页面或摘要核对
Irnich et al., 2010：02_参考文献/论文全文/S044_Irnich_2010.pdf
Martinelli et al., 2014：02_参考文献/论文全文/S038_Martinelli_2014.pdf
Desaulniers et al., 2005：未单独保存全书（只核对了书目信息和已读章节）
Desrosiers et al., 2026：90_过程归档/大修_v1.5/fulltext/book/PDFs/Branch_and_Price.pdf</t>
        </is>
      </c>
      <c r="J113" s="10" t="inlineStr">
        <is>
          <t>E-T-S038-05：PDF pp.21–23,26–27, printed20–22,25–26, Tables1–2（关键词匹配，仅供参考）
E-T-S038-06：PDF p.29, printed28, Table4（关键词匹配，仅供参考）</t>
        </is>
      </c>
      <c r="K113" s="10" t="inlineStr"/>
      <c r="L113" s="12" t="inlineStr"/>
      <c r="M113" s="12" t="inlineStr"/>
      <c r="N113" s="12" t="inlineStr"/>
      <c r="O113" s="12" t="inlineStr"/>
      <c r="P113" s="12" t="inlineStr"/>
      <c r="Q113" s="12" t="inlineStr"/>
    </row>
    <row r="114" ht="101" customHeight="1">
      <c r="A114" s="15" t="inlineStr">
        <is>
          <t>已在其他表核对</t>
        </is>
      </c>
      <c r="B114" s="15" t="inlineStr">
        <is>
          <t>TX113</t>
        </is>
      </c>
      <c r="C114" s="15" t="inlineStr">
        <is>
          <t>编码</t>
        </is>
      </c>
      <c r="D114" s="15" t="inlineStr">
        <is>
          <t>§B.2 第1段；§B.2 第2段；§B.2 第3段</t>
        </is>
      </c>
      <c r="E114" s="15" t="inlineStr">
        <is>
          <t>The direct L-PDDOI variant S066-M1 is G4</t>
        </is>
      </c>
      <c r="F114" s="15" t="inlineStr">
        <is>
          <t>[§B.2 第1段] The direct L-PDDOI variant S066-M1 is G4 because the fully priced modified formulation gives a valid weaker bound. S066-M2 instead targets restoration of the original LP through removal or relaxation of unproved learned restrictions; it is G2 primary and G4 secondary. The gap-target variant is recorded separately and has no measured E scope. Ordinary stabilization can remain G4 when its mathematical update and endpoint conditions justify the stated target; the mere presence of a fallback is not enough to relabel every stabilizer.
[§B.2 第2段] Learned construction in S053-M1 and S088-M1 is G2 because column proposals are checked and a complete oracle handles failure. It need not remove arcs to have that mechanism. S051's pairing-domain restriction is L4 despite the source term partial pricing; L3 is secondary for its phased use. S045's two-arc fixing is L4 because it removes implicit routes through arc-sequence exclusions. S021's fixing of an enumerated column pool is L6. The identity of the deleted object resolves the boundary.
[§B.2 第3段] S064-M1 is an offline label classifier without an integrated guarantee target and is therefore unassigned (GU-offline). S050-M3, S090-M1 and S100-M1 are unassigned because the accessed documentation does not establish their mechanism. Figure 3 reports these four variants separately from G1–G5, so GU does not measure the same property as the five mechanisms.</t>
        </is>
      </c>
      <c r="G114" s="15" t="inlineStr">
        <is>
          <t>S066 You et al., 2026a；S053 Shen et al., 2022；S088 Xu et al., 2024；S051 Quesnel et al., 2022；S045 Desaulniers et al., 2020；S021 Yang, 2025；S064 Basso and Salani, 2026；S050 Morabit et al., 2021；S090 Li et al., 2026；S100 Núñez Ares et al., 2016</t>
        </is>
      </c>
      <c r="H114" s="15" t="inlineStr">
        <is>
          <t>Appendix B.2 边界决定：S066-M1 G4；S066-M2 主 G2、次 G4；S066-M3 没有测量范围；S053-M1、S088-M1 为 G2；S051 主层 L4、次层 L3；S045 为 L4；S021 列池固定为 L6；S064-M1 为 GU-offline；S050-M3、S090-M1、S100-M1 为 GU。这些编码在表 1/表 2 中核对；若你改了编码，这里要同步修改。</t>
        </is>
      </c>
      <c r="I114" s="15" t="inlineStr">
        <is>
          <t>You et al., 2026a：02_参考文献/论文全文/S066_You_2026.pdf
Shen et al., 2022：02_参考文献/论文全文/S053_Shen_2022.pdf
Xu et al., 2024：02_参考文献/论文全文/S088_Xu_2024.pdf
Quesnel et al., 2022：02_参考文献/论文全文/S051_Quesnel_2022.pdf
Desaulniers et al., 2020：02_参考文献/论文全文/S045_Desaulniers_2020.pdf
Yang, 2025：02_参考文献/论文全文/S021_Yang_2025.pdf
Basso and Salani, 2026：02_参考文献/论文全文/S064_Basso_2026.pdf
Morabit et al., 2021：02_参考文献/论文全文/S050_Morabit_2021.pdf
Li et al., 2026：02_参考文献/论文全文/S090_Li_2026.pdf
Núñez Ares et al., 2016：02_参考文献/论文全文/S100_Ares_2016.pdf</t>
        </is>
      </c>
      <c r="J114" s="15" t="inlineStr">
        <is>
          <t>见 1_27个案例裁决 / 2_TableA1核对</t>
        </is>
      </c>
      <c r="K114" s="15" t="inlineStr">
        <is>
          <t>1_27个案例裁决 / 2_TableA1核对</t>
        </is>
      </c>
      <c r="L114" s="15" t="inlineStr"/>
      <c r="M114" s="15" t="str">
        <v>需修改</v>
      </c>
      <c r="N114" s="15" t="str">
        <v>D004 S100 的 GU 理由及附录表述：Appendix C is available in the accessed report. The certificate derivation and its use in the stopping rule remain unresolved; this does not establish an implementation error.
保留 GU；仅替换与 S100 有关的不可获得附录理由，其他研究不据此改判。
D004 PDF 4;7–8;10;13–14；§5.3–6.5;Algorithm1;Table4;AppendixC</v>
      </c>
      <c r="O114" s="15" t="str">
        <v>已落实于 v1.8 稿件。
S064-M1 is an offline label classifier without an integrated guarantee target and is therefore unassigned (GU-offline). S050-M3, S090-M1 and S100-M1 are unassigned because the accessed documentation does not establish their mechanism. For S100-M1, Appendix C is available; the unresolved issue is the certificate derivation and its application in the stopping rule. Figure 3 reports these four variants separately from G1–G5, so GU does not measure the same property as the five mechanisms.</v>
      </c>
      <c r="P114" s="15" t="str">
        <v>Codex（依据作者裁决）</v>
      </c>
      <c r="Q114" s="15" t="str">
        <v>2026-10-15</v>
      </c>
    </row>
    <row r="115">
      <c r="A115" s="15" t="inlineStr">
        <is>
          <t>自动重算</t>
        </is>
      </c>
      <c r="B115" s="15" t="inlineStr">
        <is>
          <t>TX114</t>
        </is>
      </c>
      <c r="C115" s="15" t="inlineStr">
        <is>
          <t>派生</t>
        </is>
      </c>
      <c r="D115" s="15" t="inlineStr">
        <is>
          <t>§B.3 第1段 第3–4句</t>
        </is>
      </c>
      <c r="E115" s="15" t="inlineStr">
        <is>
          <t>Four prespecified boundary variants concern a recovered</t>
        </is>
      </c>
      <c r="F115" s="15" t="inlineStr">
        <is>
          <t>[§B.3 第1段 第3–4句] Four prespecified boundary variants concern a recovered dual restriction (S066-M2), two construction methods (S053-M1 and S088-M1) and two-arc fixing (S045-M1). S088-M1 also occurs in the random set, leaving three additional boundary cases, and the two sets are analyzed separately.</t>
        </is>
      </c>
      <c r="G115" s="15" t="inlineStr"/>
      <c r="H115" s="15" t="inlineStr">
        <is>
          <t>复核包中预先指定的 4 个边界变体（S066-M2、S053-M1、S088-M1、S045-M1），其中 S088-M1 也在随机样本中。由复核包数据决定，不需要原文。</t>
        </is>
      </c>
      <c r="I115" s="15" t="inlineStr">
        <is>
          <t>不需要原文（本文自己的推导、计数或你本人的陈述）</t>
        </is>
      </c>
      <c r="J115" s="15" t="inlineStr">
        <is>
          <t>不适用</t>
        </is>
      </c>
      <c r="K115" s="15" t="inlineStr"/>
      <c r="L115" s="15" t="inlineStr"/>
      <c r="M115" s="15" t="inlineStr"/>
      <c r="N115" s="15" t="inlineStr"/>
      <c r="O115" s="15" t="inlineStr"/>
      <c r="P115" s="15" t="inlineStr"/>
      <c r="Q115" s="15" t="inlineStr"/>
    </row>
    <row r="116">
      <c r="A116" s="9" t="inlineStr">
        <is>
          <t>必核</t>
        </is>
      </c>
      <c r="B116" s="10" t="inlineStr">
        <is>
          <t>TX115</t>
        </is>
      </c>
      <c r="C116" s="10" t="inlineStr">
        <is>
          <t>数值</t>
        </is>
      </c>
      <c r="D116" s="10" t="inlineStr">
        <is>
          <t>Table C.1 第2行</t>
        </is>
      </c>
      <c r="E116" s="10" t="inlineStr">
        <is>
          <t>(You et al., 2026a), E2</t>
        </is>
      </c>
      <c r="F116" s="10" t="inlineStr">
        <is>
          <t>[Table C.1 第2行] (You et al., 2026a), E2 | Direct and recovered inequalities; 200 CVRP500 instances | Geometric means 12.3/54.2 versus 119.9 s; mean bound loss 1.3%/0% | Prediction/postprocessing separately timed; direct and recovered targets differ</t>
        </is>
      </c>
      <c r="G116" s="10" t="inlineStr">
        <is>
          <t>S066 You et al., 2026a</t>
        </is>
      </c>
      <c r="H116" s="10" t="inlineStr">
        <is>
          <t>You 2026a（预印本）：200 个 CVRP500 算例；几何平均时间 12.3 s（直接版）/ 54.2 s（恢复版）vs 119.9 s（基线）；平均界损失 1.3%（直接版）/ 0%（恢复版）；预测和后处理分开计时。</t>
        </is>
      </c>
      <c r="I116" s="10" t="inlineStr">
        <is>
          <t>You et al., 2026a：02_参考文献/论文全文/S066_You_2026.pdf</t>
        </is>
      </c>
      <c r="J116" s="10" t="inlineStr">
        <is>
          <t>E-A-S066-04：PDF pp18–20 Tables2,4;§5.2.1–5.2.3（数字匹配）
E-A-S066-06：PDF p20 Table4,p22 Table7,§§5.2.3/5.3.2（数字匹配）
E-A-S066-05：PDF pp21–22 Tables6–7（数字匹配）</t>
        </is>
      </c>
      <c r="K116" s="10" t="inlineStr"/>
      <c r="L116" s="12" t="inlineStr"/>
      <c r="M116" s="12" t="inlineStr"/>
      <c r="N116" s="12" t="inlineStr"/>
      <c r="O116" s="12" t="inlineStr"/>
      <c r="P116" s="12" t="inlineStr"/>
      <c r="Q116" s="12" t="inlineStr"/>
    </row>
    <row r="117">
      <c r="A117" s="9" t="inlineStr">
        <is>
          <t>必核</t>
        </is>
      </c>
      <c r="B117" s="10" t="inlineStr">
        <is>
          <t>TX116</t>
        </is>
      </c>
      <c r="C117" s="10" t="inlineStr">
        <is>
          <t>数值</t>
        </is>
      </c>
      <c r="D117" s="10" t="inlineStr">
        <is>
          <t>Table C.1 第3行</t>
        </is>
      </c>
      <c r="E117" s="10" t="inlineStr">
        <is>
          <t>(Shan et al., 2026), E2/E4</t>
        </is>
      </c>
      <c r="F117" s="10" t="inlineStr">
        <is>
          <t>[Table C.1 第3行] (Shan et al., 2026), E2/E4 | Fixed-row replay and complete implementation | 45 matched states from 29 families; tree subset 18/30 jointly complete | Calls/master work are not whole-solver time; detailed policy outcomes in missing supplement</t>
        </is>
      </c>
      <c r="G117" s="10" t="inlineStr">
        <is>
          <t>S091 Shan et al., 2026</t>
        </is>
      </c>
      <c r="H117" s="10" t="inlineStr">
        <is>
          <t>Shan 2026（预印本）：固定行重放与完整实现；来自 29 个算例族的 45 个匹配状态；树子集中 30 个里有 18 个四种策略都完成；调用次数和主问题工作量不等于整个求解器的时间；详细的策略结果在缺失的补充材料中。</t>
        </is>
      </c>
      <c r="I117" s="10" t="inlineStr">
        <is>
          <t>Shan et al., 2026：02_参考文献/论文全文/S091_Shan_2026.pdf</t>
        </is>
      </c>
      <c r="J117" s="10" t="inlineStr">
        <is>
          <t>E-R-S091-03：PDF pp. 29–30, Sections 7.1–7.2（数字匹配）
E-R-S091-04：PDF p. 29, Section 7.1; pp. 31–32, Section 7.4（数字匹配）</t>
        </is>
      </c>
      <c r="K117" s="10" t="inlineStr">
        <is>
          <t>4_S2核对 S091</t>
        </is>
      </c>
      <c r="L117" s="12" t="inlineStr"/>
      <c r="M117" s="12" t="inlineStr"/>
      <c r="N117" s="12" t="inlineStr"/>
      <c r="O117" s="12" t="inlineStr"/>
      <c r="P117" s="12" t="inlineStr"/>
      <c r="Q117" s="12" t="inlineStr"/>
    </row>
    <row r="118">
      <c r="A118" s="9" t="inlineStr">
        <is>
          <t>必核</t>
        </is>
      </c>
      <c r="B118" s="10" t="inlineStr">
        <is>
          <t>TX117</t>
        </is>
      </c>
      <c r="C118" s="10" t="inlineStr">
        <is>
          <t>数值</t>
        </is>
      </c>
      <c r="D118" s="10" t="inlineStr">
        <is>
          <t>Table C.1 第4行</t>
        </is>
      </c>
      <c r="E118" s="10" t="inlineStr">
        <is>
          <t>(Chen et al., 2026), E1</t>
        </is>
      </c>
      <c r="F118" s="10" t="inlineStr">
        <is>
          <t>[Table C.1 第4行] (Chen et al., 2026), E1 | PLA versus author-implemented pulse; 81 path instances, 5 bucket settings | Reported means 91.579 versus 105.492 s; 61/81 versus 57/81 solved | 300 s cap; preprocessing included; timeout aggregation across settings unclear; supplement unavailable</t>
        </is>
      </c>
      <c r="G118" s="10" t="inlineStr">
        <is>
          <t>S103 Chen et al., 2026</t>
        </is>
      </c>
      <c r="H118" s="10" t="inlineStr">
        <is>
          <t>Chen 2026（预印本）：PLA 与作者自行实现的 pulse 算法比较；81 个路径算例、5 种桶设置；报告的平均时间 91.579 s vs 105.492 s；求解数 61/81 vs 57/81；时间上限 300 s；含预处理时间；跨设置的超时汇总方式不明确；补充材料无法获取。</t>
        </is>
      </c>
      <c r="I118" s="10" t="inlineStr">
        <is>
          <t>Chen et al., 2026：02_参考文献/论文全文/CL014_Chen_2026.pdf</t>
        </is>
      </c>
      <c r="J118" s="10" t="inlineStr">
        <is>
          <t>E-U-S103-10：PDF pp.23–25 §5.3.2 and Table 6（数字匹配）
E-U-S103-08：PDF pp.21–22 §5.2 and Table 4（数字匹配）</t>
        </is>
      </c>
      <c r="K118" s="10" t="inlineStr"/>
      <c r="L118" s="12" t="inlineStr"/>
      <c r="M118" s="12" t="inlineStr"/>
      <c r="N118" s="12" t="inlineStr"/>
      <c r="O118" s="12" t="inlineStr"/>
      <c r="P118" s="12" t="inlineStr"/>
      <c r="Q118" s="12" t="inlineStr"/>
    </row>
  </sheetData>
  <autoFilter ref="A1:Q118"/>
  <dataValidations count="5">
    <dataValidation sqref="L2:L118" showDropDown="0" showInputMessage="0" showErrorMessage="1" allowBlank="1" errorTitle="无效输入" error="请从下拉列表中选择" type="list">
      <formula1>"是,否,不适用"</formula1>
    </dataValidation>
    <dataValidation sqref="M2:M118" showDropDown="0" showInputMessage="0" showErrorMessage="1" allowBlank="1" errorTitle="无效输入" error="请从下拉列表中选择" type="list">
      <formula1>"一致,需修改,无法判断"</formula1>
    </dataValidation>
    <dataValidation sqref="N2:N118" showDropDown="0" showInputMessage="1" showErrorMessage="0" allowBlank="1" promptTitle="填写提示" prompt="写原文页码（注明 PDF 页或印刷页）和要点，例如：PDF p.12 Table 3，536.04 与 448.20 s" type="custom">
      <formula1>TRUE</formula1>
    </dataValidation>
    <dataValidation sqref="O2:O118" showDropDown="0" showInputMessage="1" showErrorMessage="0" allowBlank="1" promptTitle="填写提示" prompt="核对结论为“需修改”时必填：写出要改的数字或建议的英文改写" type="custom">
      <formula1>TRUE</formula1>
    </dataValidation>
    <dataValidation sqref="Q2:Q118"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2" customWidth="1" min="3" max="3"/>
    <col width="7" customWidth="1" min="4" max="4"/>
    <col width="14" customWidth="1" min="5" max="5"/>
    <col width="60" customWidth="1" min="6" max="6"/>
    <col width="30" customWidth="1" min="7" max="7"/>
    <col width="12" customWidth="1" min="8" max="8"/>
    <col width="30" customWidth="1" min="9" max="9"/>
    <col width="30" customWidth="1" min="10" max="10"/>
    <col width="18" customWidth="1" min="11" max="11"/>
    <col width="40" customWidth="1" min="12" max="12"/>
    <col width="8" customWidth="1" min="13" max="13"/>
    <col width="10" customWidth="1" min="14" max="14"/>
    <col width="10" customWidth="1" min="15" max="15"/>
    <col width="34" customWidth="1" min="16" max="16"/>
    <col width="9" customWidth="1" min="17" max="17"/>
    <col width="11" customWidth="1" min="18" max="18"/>
  </cols>
  <sheetData>
    <row r="1" ht="42" customHeight="1">
      <c r="A1" s="7" t="inlineStr">
        <is>
          <t>序号</t>
        </is>
      </c>
      <c r="B1" s="7" t="inlineStr">
        <is>
          <t>优先级</t>
        </is>
      </c>
      <c r="C1" s="7" t="inlineStr">
        <is>
          <t>引用标签</t>
        </is>
      </c>
      <c r="D1" s="7" t="inlineStr">
        <is>
          <t>研究ID</t>
        </is>
      </c>
      <c r="E1" s="7" t="inlineStr">
        <is>
          <t>角色</t>
        </is>
      </c>
      <c r="F1" s="7" t="inlineStr">
        <is>
          <t>参考文献条目（稿件原文）</t>
        </is>
      </c>
      <c r="G1" s="7" t="inlineStr">
        <is>
          <t>DOI/链接</t>
        </is>
      </c>
      <c r="H1" s="7" t="inlineStr">
        <is>
          <t>发表状态标注</t>
        </is>
      </c>
      <c r="I1" s="7" t="inlineStr">
        <is>
          <t>本地原文（项目文件夹内）</t>
        </is>
      </c>
      <c r="J1" s="7" t="inlineStr">
        <is>
          <t>数据包记录（AI 整理）</t>
        </is>
      </c>
      <c r="K1" s="7" t="inlineStr">
        <is>
          <t>自动比对（AI）</t>
        </is>
      </c>
      <c r="L1" s="7" t="inlineStr">
        <is>
          <t>核对要点</t>
        </is>
      </c>
      <c r="M1" s="8" t="inlineStr">
        <is>
          <t>已核对 ✎</t>
        </is>
      </c>
      <c r="N1" s="8" t="inlineStr">
        <is>
          <t>条目各项正确 ✎</t>
        </is>
      </c>
      <c r="O1" s="8" t="inlineStr">
        <is>
          <t>发表状态正确 ✎</t>
        </is>
      </c>
      <c r="P1" s="8" t="inlineStr">
        <is>
          <t>需修改的内容 ✎</t>
        </is>
      </c>
      <c r="Q1" s="8" t="inlineStr">
        <is>
          <t>核对人 ✎</t>
        </is>
      </c>
      <c r="R1" s="8" t="inlineStr">
        <is>
          <t>日期 ✎</t>
        </is>
      </c>
    </row>
    <row r="2">
      <c r="A2" s="10" t="n">
        <v>1</v>
      </c>
      <c r="B2" s="9" t="inlineStr">
        <is>
          <t>必核</t>
        </is>
      </c>
      <c r="C2" s="10" t="inlineStr">
        <is>
          <t>Abouelrous et al., 2025a</t>
        </is>
      </c>
      <c r="D2" s="10" t="inlineStr">
        <is>
          <t>S077</t>
        </is>
      </c>
      <c r="E2" s="10" t="inlineStr">
        <is>
          <t>核心</t>
        </is>
      </c>
      <c r="F2" s="10" t="inlineStr">
        <is>
          <t>Abouelrous, A., Bliek, L., Gabor, A.F., Wu, Y., Zhang, Y., 2025a. Graph Reduction with Unsupervised Learning in Column Generation: A Routing Application. arXiv preprint, 2504.08401v2 [Preprint; not peer reviewed]. https://arxiv.org/abs/2504.08401v2.</t>
        </is>
      </c>
      <c r="G2" s="10" t="inlineStr">
        <is>
          <t>https://arxiv.org/abs/2504.08401v2</t>
        </is>
      </c>
      <c r="H2" s="10" t="inlineStr">
        <is>
          <t>预印本（Preprint）</t>
        </is>
      </c>
      <c r="I2" s="10" t="inlineStr">
        <is>
          <t>02_参考文献/论文全文/S077_Abouelrous_2025.pdf</t>
        </is>
      </c>
      <c r="J2" s="10" t="inlineStr">
        <is>
          <t>R077：PREPRINT；MATCHED; FULL_MAIN_PDF_READ</t>
        </is>
      </c>
      <c r="K2" s="10" t="inlineStr">
        <is>
          <t>DOI/链接一致；标题一致</t>
        </is>
      </c>
      <c r="L2" s="10" t="inlineStr">
        <is>
          <t>这是预印本：请检查是否已经正式发表；若已发表，按正式版本更新条目（作者、年份、标题、期刊、卷期页码、DOI），并告诉我，以便调整正文中的年份后缀和“预印本”说明。</t>
        </is>
      </c>
      <c r="M2" s="12" t="inlineStr"/>
      <c r="N2" s="12" t="inlineStr"/>
      <c r="O2" s="12" t="inlineStr"/>
      <c r="P2" s="12" t="inlineStr"/>
      <c r="Q2" s="12" t="inlineStr"/>
      <c r="R2" s="12" t="inlineStr"/>
    </row>
    <row r="3">
      <c r="A3" s="10" t="n">
        <v>2</v>
      </c>
      <c r="B3" s="13" t="inlineStr">
        <is>
          <t>建议核</t>
        </is>
      </c>
      <c r="C3" s="10" t="inlineStr">
        <is>
          <t>Abouelrous et al., 2025b</t>
        </is>
      </c>
      <c r="D3" s="10" t="inlineStr">
        <is>
          <t>S061</t>
        </is>
      </c>
      <c r="E3" s="10" t="inlineStr">
        <is>
          <t>核心</t>
        </is>
      </c>
      <c r="F3" s="10" t="inlineStr">
        <is>
          <t>Abouelrous, A., Bliek, L., Gabor, A.F., Wu, Y., Zhang, Y., 2025b. Reinforcement learning for solving the pricing problem in column generation for routing. Oper. Res. Perspect. 15, 100364. https://doi.org/10.1016/j.orp.2025.100364.</t>
        </is>
      </c>
      <c r="G3" s="10" t="inlineStr">
        <is>
          <t>https://doi.org/10.1016/j.orp.2025.100364</t>
        </is>
      </c>
      <c r="H3" s="10" t="inlineStr"/>
      <c r="I3" s="10" t="inlineStr">
        <is>
          <t>02_参考文献/论文全文/S061_Abouelrous_2025.pdf</t>
        </is>
      </c>
      <c r="J3" s="10" t="inlineStr">
        <is>
          <t>R061：JOURNAL_VOR；MATCH; COMPLETE_SUPPLIED_PDF</t>
        </is>
      </c>
      <c r="K3" s="10" t="inlineStr">
        <is>
          <t>DOI/链接一致；标题一致</t>
        </is>
      </c>
      <c r="L3" s="10" t="inlineStr">
        <is>
          <t>对照原文首页或出版社页面，核对作者、年份、标题、期刊或会议、卷期页码和 DOI。</t>
        </is>
      </c>
      <c r="M3" s="12" t="inlineStr"/>
      <c r="N3" s="12" t="inlineStr"/>
      <c r="O3" s="12" t="inlineStr"/>
      <c r="P3" s="12" t="inlineStr"/>
      <c r="Q3" s="12" t="inlineStr"/>
      <c r="R3" s="12" t="inlineStr"/>
    </row>
    <row r="4">
      <c r="A4" s="10" t="n">
        <v>3</v>
      </c>
      <c r="B4" s="9" t="inlineStr">
        <is>
          <t>必核</t>
        </is>
      </c>
      <c r="C4" s="10" t="inlineStr">
        <is>
          <t>Babaki et al., 2022</t>
        </is>
      </c>
      <c r="D4" s="10" t="inlineStr">
        <is>
          <t>S082</t>
        </is>
      </c>
      <c r="E4" s="10" t="inlineStr">
        <is>
          <t>核心</t>
        </is>
      </c>
      <c r="F4" s="10" t="inlineStr">
        <is>
          <t>Babaki, B., Jena, S.D., Charlin, L., 2022. Neural Column Generation for Capacitated Vehicle Routing. AAAI-22 Workshop on Machine Learning for Operations Research (ML4OR) [Workshop paper]. https://openreview.net/forum?id=k5sdO59Pw_3.</t>
        </is>
      </c>
      <c r="G4" s="10" t="inlineStr">
        <is>
          <t>https://openreview.net/forum?id=k5sdO59Pw_3</t>
        </is>
      </c>
      <c r="H4" s="10" t="inlineStr">
        <is>
          <t>研讨会论文（Workshop）</t>
        </is>
      </c>
      <c r="I4" s="10" t="inlineStr">
        <is>
          <t>02_参考文献/论文全文/S082_Babaki_UNVERIFIED.pdf</t>
        </is>
      </c>
      <c r="J4" s="10" t="inlineStr">
        <is>
          <t>R082：WORKSHOP_PAPER；TITLE_AUTHORS_PDF_AND_OFFICIAL_WORKSHOP_PROGRAM_VERIFIED</t>
        </is>
      </c>
      <c r="K4" s="10" t="inlineStr">
        <is>
          <t>DOI/链接一致；标题一致</t>
        </is>
      </c>
      <c r="L4" s="10" t="inlineStr">
        <is>
          <t>研讨会论文：确认会议/研讨会名称、年份和链接；检查是否有后续正式版本。</t>
        </is>
      </c>
      <c r="M4" s="12" t="inlineStr"/>
      <c r="N4" s="12" t="inlineStr"/>
      <c r="O4" s="12" t="inlineStr"/>
      <c r="P4" s="12" t="inlineStr"/>
      <c r="Q4" s="12" t="inlineStr"/>
      <c r="R4" s="12" t="inlineStr"/>
    </row>
    <row r="5">
      <c r="A5" s="10" t="n">
        <v>4</v>
      </c>
      <c r="B5" s="13" t="inlineStr">
        <is>
          <t>建议核</t>
        </is>
      </c>
      <c r="C5" s="10" t="inlineStr">
        <is>
          <t>Baldacci et al., 2011</t>
        </is>
      </c>
      <c r="D5" s="10" t="inlineStr">
        <is>
          <t>S027</t>
        </is>
      </c>
      <c r="E5" s="10" t="inlineStr">
        <is>
          <t>核心</t>
        </is>
      </c>
      <c r="F5" s="10" t="inlineStr">
        <is>
          <t>Baldacci, R., Mingozzi, A., Roberti, R., 2011. New Route Relaxation and Pricing Strategies for the Vehicle Routing Problem. Oper. Res. 59(5), 1269–1283. https://doi.org/10.1287/opre.1110.0975.</t>
        </is>
      </c>
      <c r="G5" s="10" t="inlineStr">
        <is>
          <t>https://doi.org/10.1287/opre.1110.0975</t>
        </is>
      </c>
      <c r="H5" s="10" t="inlineStr"/>
      <c r="I5" s="10" t="inlineStr">
        <is>
          <t>02_参考文献/论文全文/S027_Baldacci_2011.pdf</t>
        </is>
      </c>
      <c r="J5" s="10" t="inlineStr">
        <is>
          <t>R027：JOURNAL_VOR；MATCHED_TITLE_AUTHORS_DOI; FULLTEXT_MAIN_AND_ECOMPANION_READ；R027-SUP1：ONLINE_SUPPLEMENT；SUPPLIED_MAIN_ARTICLE_LINK_AND_WEB_CONTENT_VERIFIED</t>
        </is>
      </c>
      <c r="K5" s="10" t="inlineStr">
        <is>
          <t>DOI/链接一致；标题一致</t>
        </is>
      </c>
      <c r="L5" s="10" t="inlineStr">
        <is>
          <t>对照原文首页或出版社页面，核对作者、年份、标题、期刊或会议、卷期页码和 DOI。</t>
        </is>
      </c>
      <c r="M5" s="12" t="inlineStr"/>
      <c r="N5" s="12" t="inlineStr"/>
      <c r="O5" s="12" t="inlineStr"/>
      <c r="P5" s="12" t="inlineStr"/>
      <c r="Q5" s="12" t="inlineStr"/>
      <c r="R5" s="12" t="inlineStr"/>
    </row>
    <row r="6">
      <c r="A6" s="10" t="n">
        <v>5</v>
      </c>
      <c r="B6" s="13" t="inlineStr">
        <is>
          <t>建议核</t>
        </is>
      </c>
      <c r="C6" s="10" t="inlineStr">
        <is>
          <t>Barnhart et al., 1998</t>
        </is>
      </c>
      <c r="D6" s="10" t="inlineStr">
        <is>
          <t>S035</t>
        </is>
      </c>
      <c r="E6" s="10" t="inlineStr">
        <is>
          <t>背景</t>
        </is>
      </c>
      <c r="F6" s="10" t="inlineStr">
        <is>
          <t>Barnhart, C., Johnson, E.L., Nemhauser, G.L., Savelsbergh, M.W.P., Vance, P.H., 1998. Branch-and-Price: Column Generation for Solving Huge Integer Programs. Oper. Res. 46(3), 316–329. https://doi.org/10.1287/opre.46.3.316.</t>
        </is>
      </c>
      <c r="G6" s="10" t="inlineStr">
        <is>
          <t>https://doi.org/10.1287/opre.46.3.316</t>
        </is>
      </c>
      <c r="H6" s="10" t="inlineStr"/>
      <c r="I6" s="10" t="inlineStr">
        <is>
          <t>02_参考文献/论文全文/ 中以 S035_ 开头的文件</t>
        </is>
      </c>
      <c r="J6" s="10" t="inlineStr">
        <is>
          <t>R035：JOURNAL_VOR；MATCHED_TITLE_AUTHORS_DOI; FULLTEXT_READ_INCLUDING_REFERENCES</t>
        </is>
      </c>
      <c r="K6" s="10" t="inlineStr">
        <is>
          <t>DOI/链接一致；标题一致</t>
        </is>
      </c>
      <c r="L6" s="10" t="inlineStr">
        <is>
          <t>对照原文首页或出版社页面，核对作者、年份、标题、期刊或会议、卷期页码和 DOI。</t>
        </is>
      </c>
      <c r="M6" s="12" t="inlineStr"/>
      <c r="N6" s="12" t="inlineStr"/>
      <c r="O6" s="12" t="inlineStr"/>
      <c r="P6" s="12" t="inlineStr"/>
      <c r="Q6" s="12" t="inlineStr"/>
      <c r="R6" s="12" t="inlineStr"/>
    </row>
    <row r="7">
      <c r="A7" s="10" t="n">
        <v>6</v>
      </c>
      <c r="B7" s="9" t="inlineStr">
        <is>
          <t>必核</t>
        </is>
      </c>
      <c r="C7" s="10" t="inlineStr">
        <is>
          <t>Basso and Salani, 2026</t>
        </is>
      </c>
      <c r="D7" s="10" t="inlineStr">
        <is>
          <t>S064</t>
        </is>
      </c>
      <c r="E7" s="10" t="inlineStr">
        <is>
          <t>支撑</t>
        </is>
      </c>
      <c r="F7" s="10" t="inlineStr">
        <is>
          <t>Basso, S., Salani, M., 2026. Learning Dominant States in Elementary Resource Constrained Shortest Path Problems. arXiv preprint, 2605.03760v1 [Preprint; not peer reviewed]. https://arxiv.org/abs/2605.03760v1.</t>
        </is>
      </c>
      <c r="G7" s="10" t="inlineStr">
        <is>
          <t>https://arxiv.org/abs/2605.03760v1</t>
        </is>
      </c>
      <c r="H7" s="10" t="inlineStr">
        <is>
          <t>预印本（Preprint）</t>
        </is>
      </c>
      <c r="I7" s="10" t="inlineStr">
        <is>
          <t>02_参考文献/论文全文/S064_Basso_2026.pdf</t>
        </is>
      </c>
      <c r="J7" s="10" t="inlineStr">
        <is>
          <t>R064：PREPRINT；MATCH; COMPLETE_SUPPLIED_PDF</t>
        </is>
      </c>
      <c r="K7" s="10" t="inlineStr">
        <is>
          <t>DOI/链接一致；标题一致</t>
        </is>
      </c>
      <c r="L7" s="10" t="inlineStr">
        <is>
          <t>这是预印本：请检查是否已经正式发表；若已发表，按正式版本更新条目（作者、年份、标题、期刊、卷期页码、DOI），并告诉我，以便调整正文中的年份后缀和“预印本”说明。</t>
        </is>
      </c>
      <c r="M7" s="12" t="inlineStr"/>
      <c r="N7" s="12" t="inlineStr"/>
      <c r="O7" s="12" t="inlineStr"/>
      <c r="P7" s="12" t="inlineStr"/>
      <c r="Q7" s="12" t="inlineStr"/>
      <c r="R7" s="12" t="inlineStr"/>
    </row>
    <row r="8">
      <c r="A8" s="10" t="n">
        <v>7</v>
      </c>
      <c r="B8" s="9" t="inlineStr">
        <is>
          <t>必核</t>
        </is>
      </c>
      <c r="C8" s="10" t="inlineStr">
        <is>
          <t>Ben Amor and Desrosiers, 2006</t>
        </is>
      </c>
      <c r="D8" s="10" t="inlineStr"/>
      <c r="E8" s="10" t="inlineStr">
        <is>
          <t>其他引用</t>
        </is>
      </c>
      <c r="F8" s="10" t="inlineStr">
        <is>
          <t>Ben Amor, H., Desrosiers, J., 2006. A proximal trust-region algorithm for column generation stabilization. Comput. Oper. Res. 33(4), 910–927. https://doi.org/10.1016/j.cor.2004.08.003.</t>
        </is>
      </c>
      <c r="G8" s="10" t="inlineStr">
        <is>
          <t>https://doi.org/10.1016/j.cor.2004.08.003</t>
        </is>
      </c>
      <c r="H8" s="10" t="inlineStr"/>
      <c r="I8" s="10" t="inlineStr">
        <is>
          <t>未获取原文：按 DOI 打开出版社页面或摘要核对</t>
        </is>
      </c>
      <c r="J8" s="10" t="inlineStr">
        <is>
          <t>数据包中没有该文献的记录</t>
        </is>
      </c>
      <c r="K8" s="10" t="inlineStr">
        <is>
          <t>无法自动比对，请按 DOI 核对</t>
        </is>
      </c>
      <c r="L8" s="10" t="inlineStr">
        <is>
          <t>数据包中没有这篇文献的记录：请打开 DOI 链接，逐项核对作者、年份、标题、期刊或书名、卷期页码和 DOI。</t>
        </is>
      </c>
      <c r="M8" s="12" t="inlineStr"/>
      <c r="N8" s="12" t="inlineStr"/>
      <c r="O8" s="12" t="inlineStr"/>
      <c r="P8" s="12" t="inlineStr"/>
      <c r="Q8" s="12" t="inlineStr"/>
      <c r="R8" s="12" t="inlineStr"/>
    </row>
    <row r="9">
      <c r="A9" s="10" t="n">
        <v>8</v>
      </c>
      <c r="B9" s="13" t="inlineStr">
        <is>
          <t>建议核</t>
        </is>
      </c>
      <c r="C9" s="10" t="inlineStr">
        <is>
          <t>Ben Amor et al., 2006</t>
        </is>
      </c>
      <c r="D9" s="10" t="inlineStr">
        <is>
          <t>S024</t>
        </is>
      </c>
      <c r="E9" s="10" t="inlineStr">
        <is>
          <t>核心</t>
        </is>
      </c>
      <c r="F9" s="10" t="inlineStr">
        <is>
          <t>Ben Amor, H., Desrosiers, J., Valério de Carvalho, J.M., 2006. Dual-Optimal Inequalities for Stabilized Column Generation. Oper. Res. 54(3), 454–463. https://doi.org/10.1287/opre.1060.0278.</t>
        </is>
      </c>
      <c r="G9" s="10" t="inlineStr">
        <is>
          <t>https://doi.org/10.1287/opre.1060.0278</t>
        </is>
      </c>
      <c r="H9" s="10" t="inlineStr"/>
      <c r="I9" s="10" t="inlineStr">
        <is>
          <t>02_参考文献/论文全文/S024_Amor_2006.pdf</t>
        </is>
      </c>
      <c r="J9" s="10" t="inlineStr">
        <is>
          <t>R024：JOURNAL_VOR；MATCHED_TITLE_AUTHORS_DOI; FULLTEXT_READ_INCLUDING_REFERENCES</t>
        </is>
      </c>
      <c r="K9" s="10" t="inlineStr">
        <is>
          <t>DOI/链接一致；标题一致</t>
        </is>
      </c>
      <c r="L9" s="10" t="inlineStr">
        <is>
          <t>对照原文首页或出版社页面，核对作者、年份、标题、期刊或会议、卷期页码和 DOI。</t>
        </is>
      </c>
      <c r="M9" s="12" t="inlineStr"/>
      <c r="N9" s="12" t="inlineStr"/>
      <c r="O9" s="12" t="inlineStr"/>
      <c r="P9" s="12" t="inlineStr"/>
      <c r="Q9" s="12" t="inlineStr"/>
      <c r="R9" s="12" t="inlineStr"/>
    </row>
    <row r="10">
      <c r="A10" s="10" t="n">
        <v>9</v>
      </c>
      <c r="B10" s="9" t="inlineStr">
        <is>
          <t>必核</t>
        </is>
      </c>
      <c r="C10" s="10" t="inlineStr">
        <is>
          <t>Bengio et al., 2021</t>
        </is>
      </c>
      <c r="D10" s="10" t="inlineStr"/>
      <c r="E10" s="10" t="inlineStr">
        <is>
          <t>其他引用</t>
        </is>
      </c>
      <c r="F10" s="10" t="inlineStr">
        <is>
          <t>Bengio, Y., Lodi, A., Prouvost, A., 2021. Machine learning for combinatorial optimization: A methodological tour d’horizon. Eur. J. Oper. Res. 290(2), 405–421. https://doi.org/10.1016/j.ejor.2020.07.063.</t>
        </is>
      </c>
      <c r="G10" s="10" t="inlineStr">
        <is>
          <t>https://doi.org/10.1016/j.ejor.2020.07.063</t>
        </is>
      </c>
      <c r="H10" s="10" t="inlineStr"/>
      <c r="I10" s="10" t="inlineStr">
        <is>
          <t>90_过程归档/大修_v1.5/fulltext/Bengio/PDFs/Machine_Learning_for_Combinatorial_Optimization.pdf</t>
        </is>
      </c>
      <c r="J10" s="10" t="inlineStr">
        <is>
          <t>数据包中没有该文献的记录</t>
        </is>
      </c>
      <c r="K10" s="10" t="inlineStr">
        <is>
          <t>无法自动比对，请按 DOI 核对</t>
        </is>
      </c>
      <c r="L10" s="10" t="inlineStr">
        <is>
          <t>数据包中没有这篇文献的记录：请打开 DOI 链接，逐项核对作者、年份、标题、期刊或书名、卷期页码和 DOI。</t>
        </is>
      </c>
      <c r="M10" s="12" t="inlineStr"/>
      <c r="N10" s="12" t="inlineStr"/>
      <c r="O10" s="12" t="inlineStr"/>
      <c r="P10" s="12" t="inlineStr"/>
      <c r="Q10" s="12" t="inlineStr"/>
      <c r="R10" s="12" t="inlineStr"/>
    </row>
    <row r="11">
      <c r="A11" s="10" t="n">
        <v>10</v>
      </c>
      <c r="B11" s="9" t="inlineStr">
        <is>
          <t>必核</t>
        </is>
      </c>
      <c r="C11" s="10" t="inlineStr">
        <is>
          <t>Berden et al., 2026</t>
        </is>
      </c>
      <c r="D11" s="10" t="inlineStr">
        <is>
          <t>S067</t>
        </is>
      </c>
      <c r="E11" s="10" t="inlineStr">
        <is>
          <t>核心</t>
        </is>
      </c>
      <c r="F11" s="10" t="inlineStr">
        <is>
          <t>Berden, S., Schutte, N., Lodi, A., Guns, T., 2026. Predictive Dual Smoothing for Column Generation. arXiv preprint, 2609.34740v1 [Preprint; not peer reviewed]. https://arxiv.org/abs/2609.34740v1.</t>
        </is>
      </c>
      <c r="G11" s="10" t="inlineStr">
        <is>
          <t>https://arxiv.org/abs/2609.34740v1</t>
        </is>
      </c>
      <c r="H11" s="10" t="inlineStr">
        <is>
          <t>预印本（Preprint）</t>
        </is>
      </c>
      <c r="I11" s="10" t="inlineStr">
        <is>
          <t>02_参考文献/论文全文/S067_Berden_2026.pdf</t>
        </is>
      </c>
      <c r="J11" s="10" t="inlineStr">
        <is>
          <t>R067：PREPRINT；MATCH; COMPLETE_SUPPLIED_PDF</t>
        </is>
      </c>
      <c r="K11" s="10" t="inlineStr">
        <is>
          <t>DOI/链接一致；标题一致</t>
        </is>
      </c>
      <c r="L11" s="10" t="inlineStr">
        <is>
          <t>这是预印本：请检查是否已经正式发表；若已发表，按正式版本更新条目（作者、年份、标题、期刊、卷期页码、DOI），并告诉我，以便调整正文中的年份后缀和“预印本”说明。</t>
        </is>
      </c>
      <c r="M11" s="12" t="inlineStr"/>
      <c r="N11" s="12" t="inlineStr"/>
      <c r="O11" s="12" t="inlineStr"/>
      <c r="P11" s="12" t="inlineStr"/>
      <c r="Q11" s="12" t="inlineStr"/>
      <c r="R11" s="12" t="inlineStr"/>
    </row>
    <row r="12">
      <c r="A12" s="10" t="n">
        <v>11</v>
      </c>
      <c r="B12" s="9" t="inlineStr">
        <is>
          <t>必核</t>
        </is>
      </c>
      <c r="C12" s="10" t="inlineStr">
        <is>
          <t>Boland et al., 2006</t>
        </is>
      </c>
      <c r="D12" s="10" t="inlineStr"/>
      <c r="E12" s="10" t="inlineStr">
        <is>
          <t>其他引用</t>
        </is>
      </c>
      <c r="F12" s="10" t="inlineStr">
        <is>
          <t>Boland, N., Dethridge, J., Dumitrescu, I., 2006. Accelerated label setting algorithms for the elementary resource constrained shortest path problem. Oper. Res. Lett. 34(1), 58–68. https://doi.org/10.1016/j.orl.2004.11.011.</t>
        </is>
      </c>
      <c r="G12" s="10" t="inlineStr">
        <is>
          <t>https://doi.org/10.1016/j.orl.2004.11.011</t>
        </is>
      </c>
      <c r="H12" s="10" t="inlineStr"/>
      <c r="I12" s="10" t="inlineStr">
        <is>
          <t>未获取原文：按 DOI 打开出版社页面或摘要核对</t>
        </is>
      </c>
      <c r="J12" s="10" t="inlineStr">
        <is>
          <t>数据包中没有该文献的记录</t>
        </is>
      </c>
      <c r="K12" s="10" t="inlineStr">
        <is>
          <t>无法自动比对，请按 DOI 核对</t>
        </is>
      </c>
      <c r="L12" s="10" t="inlineStr">
        <is>
          <t>数据包中没有这篇文献的记录：请打开 DOI 链接，逐项核对作者、年份、标题、期刊或书名、卷期页码和 DOI。</t>
        </is>
      </c>
      <c r="M12" s="12" t="inlineStr"/>
      <c r="N12" s="12" t="inlineStr"/>
      <c r="O12" s="12" t="inlineStr"/>
      <c r="P12" s="12" t="inlineStr"/>
      <c r="Q12" s="12" t="inlineStr"/>
      <c r="R12" s="12" t="inlineStr"/>
    </row>
    <row r="13">
      <c r="A13" s="10" t="n">
        <v>12</v>
      </c>
      <c r="B13" s="13" t="inlineStr">
        <is>
          <t>建议核</t>
        </is>
      </c>
      <c r="C13" s="10" t="inlineStr">
        <is>
          <t>Breugem et al., 2022</t>
        </is>
      </c>
      <c r="D13" s="10" t="inlineStr">
        <is>
          <t>S099</t>
        </is>
      </c>
      <c r="E13" s="10" t="inlineStr">
        <is>
          <t>核心</t>
        </is>
      </c>
      <c r="F13" s="10" t="inlineStr">
        <is>
          <t>Breugem, T., van Rossum, B., Dollevoet, T., Huisman, D., 2022. A column generation approach for the integrated crew re-planning problem. Omega 107, 102555. https://doi.org/10.1016/j.omega.2021.102555.</t>
        </is>
      </c>
      <c r="G13" s="10" t="inlineStr">
        <is>
          <t>https://doi.org/10.1016/j.omega.2021.102555</t>
        </is>
      </c>
      <c r="H13" s="10" t="inlineStr"/>
      <c r="I13" s="10" t="inlineStr">
        <is>
          <t>02_参考文献/论文全文/S099_Breugem_2022.pdf</t>
        </is>
      </c>
      <c r="J13" s="10" t="inlineStr">
        <is>
          <t>R099：JOURNAL_VOR；TITLE_AUTHORS_VERIFIED; COMPLETE</t>
        </is>
      </c>
      <c r="K13" s="10" t="inlineStr">
        <is>
          <t>DOI/链接一致；标题一致</t>
        </is>
      </c>
      <c r="L13" s="10" t="inlineStr">
        <is>
          <t>对照原文首页或出版社页面，核对作者、年份、标题、期刊或会议、卷期页码和 DOI。</t>
        </is>
      </c>
      <c r="M13" s="12" t="inlineStr"/>
      <c r="N13" s="12" t="inlineStr"/>
      <c r="O13" s="12" t="inlineStr"/>
      <c r="P13" s="12" t="inlineStr"/>
      <c r="Q13" s="12" t="inlineStr"/>
      <c r="R13" s="12" t="inlineStr"/>
    </row>
    <row r="14">
      <c r="A14" s="10" t="n">
        <v>13</v>
      </c>
      <c r="B14" s="9" t="inlineStr">
        <is>
          <t>必核</t>
        </is>
      </c>
      <c r="C14" s="10" t="inlineStr">
        <is>
          <t>Briant et al., 2008</t>
        </is>
      </c>
      <c r="D14" s="10" t="inlineStr"/>
      <c r="E14" s="10" t="inlineStr">
        <is>
          <t>其他引用</t>
        </is>
      </c>
      <c r="F14" s="10" t="inlineStr">
        <is>
          <t>Briant, O., Lemaréchal, C., Meurdesoif, P., Michel, S., Perrot, N., Vanderbeck, F., 2008. Comparison of bundle and classical column generation. Math. Program. 113(2), 299–344. https://doi.org/10.1007/s10107-006-0079-z.</t>
        </is>
      </c>
      <c r="G14" s="10" t="inlineStr">
        <is>
          <t>https://doi.org/10.1007/s10107-006-0079-z</t>
        </is>
      </c>
      <c r="H14" s="10" t="inlineStr"/>
      <c r="I14" s="10" t="inlineStr">
        <is>
          <t>未获取原文：按 DOI 打开出版社页面或摘要核对</t>
        </is>
      </c>
      <c r="J14" s="10" t="inlineStr">
        <is>
          <t>数据包中没有该文献的记录</t>
        </is>
      </c>
      <c r="K14" s="10" t="inlineStr">
        <is>
          <t>无法自动比对，请按 DOI 核对</t>
        </is>
      </c>
      <c r="L14" s="10" t="inlineStr">
        <is>
          <t>数据包中没有这篇文献的记录：请打开 DOI 链接，逐项核对作者、年份、标题、期刊或书名、卷期页码和 DOI。</t>
        </is>
      </c>
      <c r="M14" s="12" t="inlineStr"/>
      <c r="N14" s="12" t="inlineStr"/>
      <c r="O14" s="12" t="inlineStr"/>
      <c r="P14" s="12" t="inlineStr"/>
      <c r="Q14" s="12" t="inlineStr"/>
      <c r="R14" s="12" t="inlineStr"/>
    </row>
    <row r="15">
      <c r="A15" s="10" t="n">
        <v>14</v>
      </c>
      <c r="B15" s="13" t="inlineStr">
        <is>
          <t>建议核</t>
        </is>
      </c>
      <c r="C15" s="10" t="inlineStr">
        <is>
          <t>Bulaich Mehamdi et al., 2025</t>
        </is>
      </c>
      <c r="D15" s="10" t="inlineStr">
        <is>
          <t>S032</t>
        </is>
      </c>
      <c r="E15" s="10" t="inlineStr">
        <is>
          <t>核心</t>
        </is>
      </c>
      <c r="F15" s="10" t="inlineStr">
        <is>
          <t>Bulaich Mehamdi, A., Lacroix, M., Martin, S., 2025. Pricing filtering in Dantzig-Wolfe decomposition. Oper. Res. Lett. 58, 107207. https://doi.org/10.1016/j.orl.2024.107207.</t>
        </is>
      </c>
      <c r="G15" s="10" t="inlineStr">
        <is>
          <t>https://doi.org/10.1016/j.orl.2024.107207</t>
        </is>
      </c>
      <c r="H15" s="10" t="inlineStr"/>
      <c r="I15" s="10" t="inlineStr">
        <is>
          <t>02_参考文献/论文全文/S032_Mehamdi_2025.pdf</t>
        </is>
      </c>
      <c r="J15" s="10" t="inlineStr">
        <is>
          <t>R032：JOURNAL_VOR；MATCHED_TITLE_AUTHORS_DOI; FULLTEXT_READ_INCLUDING_REFERENCES</t>
        </is>
      </c>
      <c r="K15" s="10" t="inlineStr">
        <is>
          <t>DOI/链接一致；标题一致</t>
        </is>
      </c>
      <c r="L15" s="10" t="inlineStr">
        <is>
          <t>对照原文首页或出版社页面，核对作者、年份、标题、期刊或会议、卷期页码和 DOI。</t>
        </is>
      </c>
      <c r="M15" s="12" t="inlineStr"/>
      <c r="N15" s="12" t="inlineStr"/>
      <c r="O15" s="12" t="inlineStr"/>
      <c r="P15" s="12" t="inlineStr"/>
      <c r="Q15" s="12" t="inlineStr"/>
      <c r="R15" s="12" t="inlineStr"/>
    </row>
    <row r="16">
      <c r="A16" s="10" t="n">
        <v>15</v>
      </c>
      <c r="B16" s="9" t="inlineStr">
        <is>
          <t>必核</t>
        </is>
      </c>
      <c r="C16" s="10" t="inlineStr">
        <is>
          <t>Chen et al., 2026</t>
        </is>
      </c>
      <c r="D16" s="10" t="inlineStr">
        <is>
          <t>S103</t>
        </is>
      </c>
      <c r="E16" s="10" t="inlineStr">
        <is>
          <t>支撑</t>
        </is>
      </c>
      <c r="F16" s="10" t="inlineStr">
        <is>
          <t>Chen, G., Zheng, L., Tang, X., 2026. Polyhedral Analysis and a Preprocessed Labeling Algorithm for the Elementary Shortest Path Problem with Resource Constraints. SSRN [Preprint; not peer reviewed]. https://doi.org/10.2139/ssrn.6595201.</t>
        </is>
      </c>
      <c r="G16" s="10" t="inlineStr">
        <is>
          <t>https://doi.org/10.2139/ssrn.6595201</t>
        </is>
      </c>
      <c r="H16" s="10" t="inlineStr">
        <is>
          <t>预印本（Preprint）</t>
        </is>
      </c>
      <c r="I16" s="10" t="inlineStr">
        <is>
          <t>02_参考文献/论文全文/CL014_Chen_2026.pdf</t>
        </is>
      </c>
      <c r="J16" s="10" t="inlineStr">
        <is>
          <t>R103：PREPRINT；MATCH_SSRN_PREPRINT_NOT_VOR; COMPLETE_SUPPLIED_PDF</t>
        </is>
      </c>
      <c r="K16" s="10" t="inlineStr">
        <is>
          <t>DOI/链接一致；标题一致</t>
        </is>
      </c>
      <c r="L16" s="10" t="inlineStr">
        <is>
          <t>这是预印本：请检查是否已经正式发表；若已发表，按正式版本更新条目（作者、年份、标题、期刊、卷期页码、DOI），并告诉我，以便调整正文中的年份后缀和“预印本”说明。</t>
        </is>
      </c>
      <c r="M16" s="12" t="inlineStr"/>
      <c r="N16" s="12" t="inlineStr"/>
      <c r="O16" s="12" t="inlineStr"/>
      <c r="P16" s="12" t="inlineStr"/>
      <c r="Q16" s="12" t="inlineStr"/>
      <c r="R16" s="12" t="inlineStr"/>
    </row>
    <row r="17">
      <c r="A17" s="10" t="n">
        <v>16</v>
      </c>
      <c r="B17" s="13" t="inlineStr">
        <is>
          <t>建议核</t>
        </is>
      </c>
      <c r="C17" s="10" t="inlineStr">
        <is>
          <t>Chi et al., 2022</t>
        </is>
      </c>
      <c r="D17" s="10" t="inlineStr">
        <is>
          <t>S054</t>
        </is>
      </c>
      <c r="E17" s="10" t="inlineStr">
        <is>
          <t>核心</t>
        </is>
      </c>
      <c r="F17" s="10" t="inlineStr">
        <is>
          <t>Chi, C., Aboussalah, A.M., Khalil, E.B., Wang, J., Sherkat-Masoumi, Z., 2022. A Deep Reinforcement Learning Framework for Column Generation. Advances in Neural Information Processing Systems 35, 9633–9644. https://doi.org/10.52202/068431-0700.</t>
        </is>
      </c>
      <c r="G17" s="10" t="inlineStr">
        <is>
          <t>https://doi.org/10.52202/068431-0700</t>
        </is>
      </c>
      <c r="H17" s="10" t="inlineStr"/>
      <c r="I17" s="10" t="inlineStr">
        <is>
          <t>02_参考文献/论文全文/S054_Chi_2022.pdf</t>
        </is>
      </c>
      <c r="J17" s="10" t="inlineStr">
        <is>
          <t>R054：CONFERENCE；MATCH; COMPLETE_SUPPLIED_PDF</t>
        </is>
      </c>
      <c r="K17" s="10" t="inlineStr">
        <is>
          <t>DOI/链接一致；标题一致</t>
        </is>
      </c>
      <c r="L17" s="10" t="inlineStr">
        <is>
          <t>对照原文首页或出版社页面，核对作者、年份、标题、期刊或会议、卷期页码和 DOI。</t>
        </is>
      </c>
      <c r="M17" s="12" t="inlineStr"/>
      <c r="N17" s="12" t="inlineStr"/>
      <c r="O17" s="12" t="inlineStr"/>
      <c r="P17" s="12" t="inlineStr"/>
      <c r="Q17" s="12" t="inlineStr"/>
      <c r="R17" s="12" t="inlineStr"/>
    </row>
    <row r="18">
      <c r="A18" s="10" t="n">
        <v>17</v>
      </c>
      <c r="B18" s="13" t="inlineStr">
        <is>
          <t>建议核</t>
        </is>
      </c>
      <c r="C18" s="10" t="inlineStr">
        <is>
          <t>Costa et al., 2019</t>
        </is>
      </c>
      <c r="D18" s="10" t="inlineStr">
        <is>
          <t>S003</t>
        </is>
      </c>
      <c r="E18" s="10" t="inlineStr">
        <is>
          <t>背景</t>
        </is>
      </c>
      <c r="F18" s="10" t="inlineStr">
        <is>
          <t>Costa, L., Contardo, C., Desaulniers, G., 2019. Exact Branch-Price-and-Cut Algorithms for Vehicle Routing. Transp. Sci. 53(4), 946–985. https://doi.org/10.1287/trsc.2018.0878.</t>
        </is>
      </c>
      <c r="G18" s="10" t="inlineStr">
        <is>
          <t>https://doi.org/10.1287/trsc.2018.0878</t>
        </is>
      </c>
      <c r="H18" s="10" t="inlineStr"/>
      <c r="I18" s="10" t="inlineStr">
        <is>
          <t>02_参考文献/论文全文/ 中以 S003_ 开头的文件</t>
        </is>
      </c>
      <c r="J18" s="10" t="inlineStr">
        <is>
          <t>R003：JOURNAL_VOR；METADATA_VERIFIED; FULLTEXT_CODING_PENDING；R003-V1：JOURNAL_ADVANCE；TITLE_AUTHORS_VERIFIED; COMPLETE</t>
        </is>
      </c>
      <c r="K18" s="10" t="inlineStr">
        <is>
          <t>DOI/链接一致；标题一致</t>
        </is>
      </c>
      <c r="L18" s="10" t="inlineStr">
        <is>
          <t>对照原文首页或出版社页面，核对作者、年份、标题、期刊或会议、卷期页码和 DOI。</t>
        </is>
      </c>
      <c r="M18" s="12" t="inlineStr"/>
      <c r="N18" s="12" t="inlineStr"/>
      <c r="O18" s="12" t="inlineStr"/>
      <c r="P18" s="12" t="inlineStr"/>
      <c r="Q18" s="12" t="inlineStr"/>
      <c r="R18" s="12" t="inlineStr"/>
    </row>
    <row r="19">
      <c r="A19" s="10" t="n">
        <v>18</v>
      </c>
      <c r="B19" s="9" t="inlineStr">
        <is>
          <t>必核</t>
        </is>
      </c>
      <c r="C19" s="10" t="inlineStr">
        <is>
          <t>Das and Dong, 2025</t>
        </is>
      </c>
      <c r="D19" s="10" t="inlineStr">
        <is>
          <t>S074</t>
        </is>
      </c>
      <c r="E19" s="10" t="inlineStr">
        <is>
          <t>核心</t>
        </is>
      </c>
      <c r="F19" s="10" t="inlineStr">
        <is>
          <t>Das, T., Dong, W., 2025. Reinforcement Learning-Accelerated Branch and Price to Solve a Bus Routing Model. SSRN preprint [Preprint; not peer reviewed]. https://doi.org/10.2139/ssrn.5737083.</t>
        </is>
      </c>
      <c r="G19" s="10" t="inlineStr">
        <is>
          <t>https://doi.org/10.2139/ssrn.5737083</t>
        </is>
      </c>
      <c r="H19" s="10" t="inlineStr">
        <is>
          <t>预印本（Preprint）</t>
        </is>
      </c>
      <c r="I19" s="10" t="inlineStr">
        <is>
          <t>02_参考文献/论文全文/S074_Das_2025.pdf</t>
        </is>
      </c>
      <c r="J19" s="10" t="inlineStr">
        <is>
          <t>R074：PREPRINT；MATCHED; FULL_MAIN_PDF_READ</t>
        </is>
      </c>
      <c r="K19" s="10" t="inlineStr">
        <is>
          <t>DOI/链接一致；标题一致</t>
        </is>
      </c>
      <c r="L19" s="10" t="inlineStr">
        <is>
          <t>这是预印本：请检查是否已经正式发表；若已发表，按正式版本更新条目（作者、年份、标题、期刊、卷期页码、DOI），并告诉我，以便调整正文中的年份后缀和“预印本”说明。</t>
        </is>
      </c>
      <c r="M19" s="12" t="inlineStr"/>
      <c r="N19" s="12" t="inlineStr"/>
      <c r="O19" s="12" t="inlineStr"/>
      <c r="P19" s="12" t="inlineStr"/>
      <c r="Q19" s="12" t="inlineStr"/>
      <c r="R19" s="12" t="inlineStr"/>
    </row>
    <row r="20">
      <c r="A20" s="10" t="n">
        <v>19</v>
      </c>
      <c r="B20" s="9" t="inlineStr">
        <is>
          <t>必核</t>
        </is>
      </c>
      <c r="C20" s="10" t="inlineStr">
        <is>
          <t>Desaulniers et al., 2002</t>
        </is>
      </c>
      <c r="D20" s="10" t="inlineStr"/>
      <c r="E20" s="10" t="inlineStr">
        <is>
          <t>其他引用</t>
        </is>
      </c>
      <c r="F20" s="10" t="inlineStr">
        <is>
          <t>Desaulniers, G., Desrosiers, J., Solomon, M.M., 2002. Accelerating Strategies in Column Generation Methods for Vehicle Routing and Crew Scheduling Problems. In: Ribeiro, C.C., Hansen, P. (Eds.), Essays and Surveys in Metaheuristics. Springer US, Boston, MA, pp. 309–324. https://doi.org/10.1007/978-1-4615-1507-4_14.</t>
        </is>
      </c>
      <c r="G20" s="10" t="inlineStr">
        <is>
          <t>https://doi.org/10.1007/978-1-4615-1507-4_14</t>
        </is>
      </c>
      <c r="H20" s="10" t="inlineStr"/>
      <c r="I20" s="10" t="inlineStr">
        <is>
          <t>未获取原文：按 DOI 打开出版社页面或摘要核对</t>
        </is>
      </c>
      <c r="J20" s="10" t="inlineStr">
        <is>
          <t>数据包中没有该文献的记录</t>
        </is>
      </c>
      <c r="K20" s="10" t="inlineStr">
        <is>
          <t>无法自动比对，请按 DOI 核对</t>
        </is>
      </c>
      <c r="L20" s="10" t="inlineStr">
        <is>
          <t>数据包中没有这篇文献的记录：请打开 DOI 链接，逐项核对作者、年份、标题、期刊或书名、卷期页码和 DOI。</t>
        </is>
      </c>
      <c r="M20" s="12" t="inlineStr"/>
      <c r="N20" s="12" t="inlineStr"/>
      <c r="O20" s="12" t="inlineStr"/>
      <c r="P20" s="12" t="inlineStr"/>
      <c r="Q20" s="12" t="inlineStr"/>
      <c r="R20" s="12" t="inlineStr"/>
    </row>
    <row r="21">
      <c r="A21" s="10" t="n">
        <v>20</v>
      </c>
      <c r="B21" s="9" t="inlineStr">
        <is>
          <t>必核</t>
        </is>
      </c>
      <c r="C21" s="10" t="inlineStr">
        <is>
          <t>Desaulniers et al., 2005</t>
        </is>
      </c>
      <c r="D21" s="10" t="inlineStr"/>
      <c r="E21" s="10" t="inlineStr">
        <is>
          <t>其他引用</t>
        </is>
      </c>
      <c r="F21" s="10" t="inlineStr">
        <is>
          <t>Desaulniers, G., Desrosiers, J., Solomon, M.M. (Eds.), 2005. Column Generation. Springer US. https://doi.org/10.1007/b135457.</t>
        </is>
      </c>
      <c r="G21" s="10" t="inlineStr">
        <is>
          <t>https://doi.org/10.1007/b135457</t>
        </is>
      </c>
      <c r="H21" s="10" t="inlineStr"/>
      <c r="I21" s="10" t="inlineStr">
        <is>
          <t>未单独保存全书（只核对了书目信息和已读章节）</t>
        </is>
      </c>
      <c r="J21" s="10" t="inlineStr">
        <is>
          <t>数据包中没有该文献的记录</t>
        </is>
      </c>
      <c r="K21" s="10" t="inlineStr">
        <is>
          <t>无法自动比对，请按 DOI 核对</t>
        </is>
      </c>
      <c r="L21" s="10" t="inlineStr">
        <is>
          <t>数据包中没有这篇文献的记录：请打开 DOI 链接，逐项核对作者、年份、标题、期刊或书名、卷期页码和 DOI。</t>
        </is>
      </c>
      <c r="M21" s="12" t="inlineStr"/>
      <c r="N21" s="12" t="inlineStr"/>
      <c r="O21" s="12" t="inlineStr"/>
      <c r="P21" s="12" t="inlineStr"/>
      <c r="Q21" s="12" t="inlineStr"/>
      <c r="R21" s="12" t="inlineStr"/>
    </row>
    <row r="22">
      <c r="A22" s="10" t="n">
        <v>21</v>
      </c>
      <c r="B22" s="13" t="inlineStr">
        <is>
          <t>建议核</t>
        </is>
      </c>
      <c r="C22" s="10" t="inlineStr">
        <is>
          <t>Desaulniers et al., 2020</t>
        </is>
      </c>
      <c r="D22" s="10" t="inlineStr">
        <is>
          <t>S045</t>
        </is>
      </c>
      <c r="E22" s="10" t="inlineStr">
        <is>
          <t>核心</t>
        </is>
      </c>
      <c r="F22" s="10" t="inlineStr">
        <is>
          <t>Desaulniers, G., Gschwind, T., Irnich, S., 2020. Variable Fixing for Two-Arc Sequences in Branch-Price-and-Cut Algorithms on Path-Based Models. Transp. Sci. 54(5), 1170–1188. https://doi.org/10.1287/trsc.2020.0988.</t>
        </is>
      </c>
      <c r="G22" s="10" t="inlineStr">
        <is>
          <t>https://doi.org/10.1287/trsc.2020.0988</t>
        </is>
      </c>
      <c r="H22" s="10" t="inlineStr"/>
      <c r="I22" s="10" t="inlineStr">
        <is>
          <t>02_参考文献/论文全文/S045_Desaulniers_2020.pdf</t>
        </is>
      </c>
      <c r="J22" s="10" t="inlineStr">
        <is>
          <t>R045：JOURNAL_VOR；METADATA_VERIFIED; FULLTEXT_SCREENING_PENDING；R045-V1：JOURNAL_ADVANCE；MATCHED; FULL_MAIN_PDF_READ</t>
        </is>
      </c>
      <c r="K22" s="10" t="inlineStr">
        <is>
          <t>DOI/链接一致；标题一致</t>
        </is>
      </c>
      <c r="L22" s="10" t="inlineStr">
        <is>
          <t>对照原文首页或出版社页面，核对作者、年份、标题、期刊或会议、卷期页码和 DOI。</t>
        </is>
      </c>
      <c r="M22" s="12" t="inlineStr"/>
      <c r="N22" s="12" t="inlineStr"/>
      <c r="O22" s="12" t="inlineStr"/>
      <c r="P22" s="12" t="inlineStr"/>
      <c r="Q22" s="12" t="inlineStr"/>
      <c r="R22" s="12" t="inlineStr"/>
    </row>
    <row r="23">
      <c r="A23" s="10" t="n">
        <v>22</v>
      </c>
      <c r="B23" s="13" t="inlineStr">
        <is>
          <t>建议核</t>
        </is>
      </c>
      <c r="C23" s="10" t="inlineStr">
        <is>
          <t>Desaulniers et al., 2008</t>
        </is>
      </c>
      <c r="D23" s="10" t="inlineStr">
        <is>
          <t>S017</t>
        </is>
      </c>
      <c r="E23" s="10" t="inlineStr">
        <is>
          <t>核心</t>
        </is>
      </c>
      <c r="F23" s="10" t="inlineStr">
        <is>
          <t>Desaulniers, G., Lessard, F., Hadjar, A., 2008. Tabu Search, Partial Elementarity, and Generalized k-Path Inequalities for the Vehicle Routing Problem with Time Windows. Transp. Sci. 42(3), 387–404. https://doi.org/10.1287/trsc.1070.0223.</t>
        </is>
      </c>
      <c r="G23" s="10" t="inlineStr">
        <is>
          <t>https://doi.org/10.1287/trsc.1070.0223</t>
        </is>
      </c>
      <c r="H23" s="10" t="inlineStr"/>
      <c r="I23" s="10" t="inlineStr">
        <is>
          <t>02_参考文献/论文全文/S017_Desaulniers_2008.pdf</t>
        </is>
      </c>
      <c r="J23" s="10" t="inlineStr">
        <is>
          <t>R017：JOURNAL_VOR；MATCHED_TITLE_AUTHORS_DOI; FULLTEXT_READ_INCLUDING_REFERENCES</t>
        </is>
      </c>
      <c r="K23" s="10" t="inlineStr">
        <is>
          <t>DOI/链接一致；标题一致</t>
        </is>
      </c>
      <c r="L23" s="10" t="inlineStr">
        <is>
          <t>对照原文首页或出版社页面，核对作者、年份、标题、期刊或会议、卷期页码和 DOI。</t>
        </is>
      </c>
      <c r="M23" s="12" t="inlineStr"/>
      <c r="N23" s="12" t="inlineStr"/>
      <c r="O23" s="12" t="inlineStr"/>
      <c r="P23" s="12" t="inlineStr"/>
      <c r="Q23" s="12" t="inlineStr"/>
      <c r="R23" s="12" t="inlineStr"/>
    </row>
    <row r="24">
      <c r="A24" s="10" t="n">
        <v>23</v>
      </c>
      <c r="B24" s="9" t="inlineStr">
        <is>
          <t>必核</t>
        </is>
      </c>
      <c r="C24" s="10" t="inlineStr">
        <is>
          <t>Desrosiers et al., 2026</t>
        </is>
      </c>
      <c r="D24" s="10" t="inlineStr"/>
      <c r="E24" s="10" t="inlineStr">
        <is>
          <t>其他引用</t>
        </is>
      </c>
      <c r="F24" s="10" t="inlineStr">
        <is>
          <t>Desrosiers, J., Lübbecke, M., Desaulniers, G., Gauthier, J.B., 2026. Branch-and-Price. Springer Nature Switzerland. https://doi.org/10.1007/978-3-031-96917-1.</t>
        </is>
      </c>
      <c r="G24" s="10" t="inlineStr">
        <is>
          <t>https://doi.org/10.1007/978-3-031-96917-1</t>
        </is>
      </c>
      <c r="H24" s="10" t="inlineStr"/>
      <c r="I24" s="10" t="inlineStr">
        <is>
          <t>90_过程归档/大修_v1.5/fulltext/book/PDFs/Branch_and_Price.pdf</t>
        </is>
      </c>
      <c r="J24" s="10" t="inlineStr">
        <is>
          <t>数据包中没有该文献的记录</t>
        </is>
      </c>
      <c r="K24" s="10" t="inlineStr">
        <is>
          <t>无法自动比对，请按 DOI 核对</t>
        </is>
      </c>
      <c r="L24" s="10" t="inlineStr">
        <is>
          <t>数据包中没有这篇文献的记录：请打开 DOI 链接，逐项核对作者、年份、标题、期刊或书名、卷期页码和 DOI。</t>
        </is>
      </c>
      <c r="M24" s="12" t="inlineStr"/>
      <c r="N24" s="12" t="inlineStr"/>
      <c r="O24" s="12" t="inlineStr"/>
      <c r="P24" s="12" t="inlineStr"/>
      <c r="Q24" s="12" t="inlineStr"/>
      <c r="R24" s="12" t="inlineStr"/>
    </row>
    <row r="25">
      <c r="A25" s="10" t="n">
        <v>24</v>
      </c>
      <c r="B25" s="13" t="inlineStr">
        <is>
          <t>建议核</t>
        </is>
      </c>
      <c r="C25" s="10" t="inlineStr">
        <is>
          <t>Di Puglia Pugliese and Guerriero, 2013</t>
        </is>
      </c>
      <c r="D25" s="10" t="inlineStr">
        <is>
          <t>S013</t>
        </is>
      </c>
      <c r="E25" s="10" t="inlineStr">
        <is>
          <t>背景</t>
        </is>
      </c>
      <c r="F25" s="10" t="inlineStr">
        <is>
          <t>Di Puglia Pugliese, L., Guerriero, F., 2013. A survey of resource constrained shortest path problems: Exact solution approaches. Networks 62(3), 183–200. https://doi.org/10.1002/net.21511.</t>
        </is>
      </c>
      <c r="G25" s="10" t="inlineStr">
        <is>
          <t>https://doi.org/10.1002/net.21511</t>
        </is>
      </c>
      <c r="H25" s="10" t="inlineStr"/>
      <c r="I25" s="10" t="inlineStr">
        <is>
          <t>02_参考文献/论文全文/ 中以 S013_ 开头的文件</t>
        </is>
      </c>
      <c r="J25" s="10" t="inlineStr">
        <is>
          <t>R013：JOURNAL_VOR；TITLE_AUTHORS_VERIFIED; COMPLETE</t>
        </is>
      </c>
      <c r="K25" s="10" t="inlineStr">
        <is>
          <t>DOI/链接一致；标题一致</t>
        </is>
      </c>
      <c r="L25" s="10" t="inlineStr">
        <is>
          <t>对照原文首页或出版社页面，核对作者、年份、标题、期刊或会议、卷期页码和 DOI。</t>
        </is>
      </c>
      <c r="M25" s="12" t="inlineStr"/>
      <c r="N25" s="12" t="inlineStr"/>
      <c r="O25" s="12" t="inlineStr"/>
      <c r="P25" s="12" t="inlineStr"/>
      <c r="Q25" s="12" t="inlineStr"/>
      <c r="R25" s="12" t="inlineStr"/>
    </row>
    <row r="26">
      <c r="A26" s="10" t="n">
        <v>25</v>
      </c>
      <c r="B26" s="13" t="inlineStr">
        <is>
          <t>建议核</t>
        </is>
      </c>
      <c r="C26" s="10" t="inlineStr">
        <is>
          <t>Ding et al., 2025</t>
        </is>
      </c>
      <c r="D26" s="10" t="inlineStr">
        <is>
          <t>S094</t>
        </is>
      </c>
      <c r="E26" s="10" t="inlineStr">
        <is>
          <t>核心</t>
        </is>
      </c>
      <c r="F26" s="10" t="inlineStr">
        <is>
          <t>Ding, J., Chen, J., Li, J., Wang, J., 2025. Two-Stage Column Generation Optimization Algorithm for Flight Strings based on Deep Reinforcement Learning. 2025 IEEE International Conference on Systems, Man, and Cybernetics (SMC), 1137–1142. https://doi.org/10.1109/smc58881.2025.11342939.</t>
        </is>
      </c>
      <c r="G26" s="10" t="inlineStr">
        <is>
          <t>https://doi.org/10.1109/smc58881.2025.11342939</t>
        </is>
      </c>
      <c r="H26" s="10" t="inlineStr"/>
      <c r="I26" s="10" t="inlineStr">
        <is>
          <t>02_参考文献/论文全文/S094_Ding_2025.pdf</t>
        </is>
      </c>
      <c r="J26" s="10" t="inlineStr">
        <is>
          <t>R094：CONFERENCE；MATCHED; FULL_MAIN_PDF_READ</t>
        </is>
      </c>
      <c r="K26" s="10" t="inlineStr">
        <is>
          <t>DOI/链接一致；标题一致</t>
        </is>
      </c>
      <c r="L26" s="10" t="inlineStr">
        <is>
          <t>对照原文首页或出版社页面，核对作者、年份、标题、期刊或会议、卷期页码和 DOI。</t>
        </is>
      </c>
      <c r="M26" s="12" t="inlineStr"/>
      <c r="N26" s="12" t="inlineStr"/>
      <c r="O26" s="12" t="inlineStr"/>
      <c r="P26" s="12" t="inlineStr"/>
      <c r="Q26" s="12" t="inlineStr"/>
      <c r="R26" s="12" t="inlineStr"/>
    </row>
    <row r="27">
      <c r="A27" s="10" t="n">
        <v>26</v>
      </c>
      <c r="B27" s="13" t="inlineStr">
        <is>
          <t>建议核</t>
        </is>
      </c>
      <c r="C27" s="10" t="inlineStr">
        <is>
          <t>Dolatkhah et al., 2026</t>
        </is>
      </c>
      <c r="D27" s="10" t="inlineStr">
        <is>
          <t>S084</t>
        </is>
      </c>
      <c r="E27" s="10" t="inlineStr">
        <is>
          <t>核心</t>
        </is>
      </c>
      <c r="F27" s="10" t="inlineStr">
        <is>
          <t>Dolatkhah, M., Hashemi Doulabi, H., Rei, W., Gendreau, M., 2026. A reinforcement-learning-based column generation algorithm for integrated operating room planning and scheduling. Int. J. Prod. Res. 64(16), 6907–6947. https://doi.org/10.1080/00207543.2026.2637778.</t>
        </is>
      </c>
      <c r="G27" s="10" t="inlineStr">
        <is>
          <t>https://doi.org/10.1080/00207543.2026.2637778</t>
        </is>
      </c>
      <c r="H27" s="10" t="inlineStr"/>
      <c r="I27" s="10" t="inlineStr">
        <is>
          <t>02_参考文献/论文全文/S084_Dolatkhah_2026.pdf</t>
        </is>
      </c>
      <c r="J27" s="10" t="inlineStr">
        <is>
          <t>R084：PREPRINT；METADATA_VERIFIED;FULLTEXT_NOT_READ；R084-V1：JOURNAL_VOR；MATCHED; FULL_MAIN_PDF_READ</t>
        </is>
      </c>
      <c r="K27" s="10" t="inlineStr">
        <is>
          <t>DOI/链接一致；标题一致</t>
        </is>
      </c>
      <c r="L27" s="10" t="inlineStr">
        <is>
          <t>对照原文首页或出版社页面，核对作者、年份、标题、期刊或会议、卷期页码和 DOI。</t>
        </is>
      </c>
      <c r="M27" s="12" t="inlineStr"/>
      <c r="N27" s="12" t="inlineStr"/>
      <c r="O27" s="12" t="inlineStr"/>
      <c r="P27" s="12" t="inlineStr"/>
      <c r="Q27" s="12" t="inlineStr"/>
      <c r="R27" s="12" t="inlineStr"/>
    </row>
    <row r="28">
      <c r="A28" s="10" t="n">
        <v>27</v>
      </c>
      <c r="B28" s="13" t="inlineStr">
        <is>
          <t>建议核</t>
        </is>
      </c>
      <c r="C28" s="10" t="inlineStr">
        <is>
          <t>du Merle et al., 1999</t>
        </is>
      </c>
      <c r="D28" s="10" t="inlineStr">
        <is>
          <t>S023</t>
        </is>
      </c>
      <c r="E28" s="10" t="inlineStr">
        <is>
          <t>核心</t>
        </is>
      </c>
      <c r="F28" s="10" t="inlineStr">
        <is>
          <t>du Merle, O., Villeneuve, D., Desrosiers, J., Hansen, P., 1999. Stabilized column generation. Discret. Math. 194(1-3), 229–237. https://doi.org/10.1016/s0012-365x(98)00213-1.</t>
        </is>
      </c>
      <c r="G28" s="10" t="inlineStr">
        <is>
          <t>https://doi.org/10.1016/s0012-365x(98)00213-1</t>
        </is>
      </c>
      <c r="H28" s="10" t="inlineStr"/>
      <c r="I28" s="10" t="inlineStr">
        <is>
          <t>02_参考文献/论文全文/S023_Merle_1999.pdf</t>
        </is>
      </c>
      <c r="J28" s="10" t="inlineStr">
        <is>
          <t>R023：JOURNAL_VOR；MATCHED_TITLE_AUTHORS_DOI; FULLTEXT_READ_INCLUDING_REFERENCES</t>
        </is>
      </c>
      <c r="K28" s="10" t="inlineStr">
        <is>
          <t>DOI/链接一致；标题一致</t>
        </is>
      </c>
      <c r="L28" s="10" t="inlineStr">
        <is>
          <t>对照原文首页或出版社页面，核对作者、年份、标题、期刊或会议、卷期页码和 DOI。</t>
        </is>
      </c>
      <c r="M28" s="12" t="inlineStr"/>
      <c r="N28" s="12" t="inlineStr"/>
      <c r="O28" s="12" t="inlineStr"/>
      <c r="P28" s="12" t="inlineStr"/>
      <c r="Q28" s="12" t="inlineStr"/>
      <c r="R28" s="12" t="inlineStr"/>
    </row>
    <row r="29">
      <c r="A29" s="10" t="n">
        <v>28</v>
      </c>
      <c r="B29" s="9" t="inlineStr">
        <is>
          <t>必核</t>
        </is>
      </c>
      <c r="C29" s="10" t="inlineStr">
        <is>
          <t>Duan et al., 2022</t>
        </is>
      </c>
      <c r="D29" s="10" t="inlineStr">
        <is>
          <t>S076</t>
        </is>
      </c>
      <c r="E29" s="10" t="inlineStr">
        <is>
          <t>核心</t>
        </is>
      </c>
      <c r="F29" s="10" t="inlineStr">
        <is>
          <t>Duan, J., Tong, X., Ni, F., He, Z., Chen, L., Yuan, M., 2022. A Data-Driven Column Generation Algorithm For Bin Packing Problem in Manufacturing Industry. arXiv preprint, 2202.12466v1 [Preprint; not peer reviewed]. https://arxiv.org/abs/2202.12466v1.</t>
        </is>
      </c>
      <c r="G29" s="10" t="inlineStr">
        <is>
          <t>https://arxiv.org/abs/2202.12466v1</t>
        </is>
      </c>
      <c r="H29" s="10" t="inlineStr">
        <is>
          <t>预印本（Preprint）</t>
        </is>
      </c>
      <c r="I29" s="10" t="inlineStr">
        <is>
          <t>02_参考文献/论文全文/S076_Duan_2022.pdf</t>
        </is>
      </c>
      <c r="J29" s="10" t="inlineStr">
        <is>
          <t>R076：PREPRINT；MATCHED; FULL_MAIN_PDF_READ</t>
        </is>
      </c>
      <c r="K29" s="10" t="inlineStr">
        <is>
          <t>DOI/链接一致；标题一致</t>
        </is>
      </c>
      <c r="L29" s="10" t="inlineStr">
        <is>
          <t>这是预印本：请检查是否已经正式发表；若已发表，按正式版本更新条目（作者、年份、标题、期刊、卷期页码、DOI），并告诉我，以便调整正文中的年份后缀和“预印本”说明。</t>
        </is>
      </c>
      <c r="M29" s="12" t="inlineStr"/>
      <c r="N29" s="12" t="inlineStr"/>
      <c r="O29" s="12" t="inlineStr"/>
      <c r="P29" s="12" t="inlineStr"/>
      <c r="Q29" s="12" t="inlineStr"/>
      <c r="R29" s="12" t="inlineStr"/>
    </row>
    <row r="30">
      <c r="A30" s="10" t="n">
        <v>29</v>
      </c>
      <c r="B30" s="13" t="inlineStr">
        <is>
          <t>建议核</t>
        </is>
      </c>
      <c r="C30" s="10" t="inlineStr">
        <is>
          <t>Dupin et al., 2021</t>
        </is>
      </c>
      <c r="D30" s="10" t="inlineStr">
        <is>
          <t>S101</t>
        </is>
      </c>
      <c r="E30" s="10" t="inlineStr">
        <is>
          <t>核心</t>
        </is>
      </c>
      <c r="F30" s="10" t="inlineStr">
        <is>
          <t>Dupin, N., Parize, R., Talbi, E.-G., 2021. Matheuristics and Column Generation for a Basic Technician Routing Problem. Algorithms 14(11), 313. https://doi.org/10.3390/a14110313.</t>
        </is>
      </c>
      <c r="G30" s="10" t="inlineStr">
        <is>
          <t>https://doi.org/10.3390/a14110313</t>
        </is>
      </c>
      <c r="H30" s="10" t="inlineStr"/>
      <c r="I30" s="10" t="inlineStr">
        <is>
          <t>02_参考文献/论文全文/S101_Dupin_2021.pdf</t>
        </is>
      </c>
      <c r="J30" s="10" t="inlineStr">
        <is>
          <t>R101：JOURNAL_VOR；TITLE_AUTHORS_VERIFIED; COMPLETE</t>
        </is>
      </c>
      <c r="K30" s="10" t="inlineStr">
        <is>
          <t>DOI/链接一致；标题一致</t>
        </is>
      </c>
      <c r="L30" s="10" t="inlineStr">
        <is>
          <t>对照原文首页或出版社页面，核对作者、年份、标题、期刊或会议、卷期页码和 DOI。</t>
        </is>
      </c>
      <c r="M30" s="12" t="inlineStr"/>
      <c r="N30" s="12" t="inlineStr"/>
      <c r="O30" s="12" t="inlineStr"/>
      <c r="P30" s="12" t="inlineStr"/>
      <c r="Q30" s="12" t="inlineStr"/>
      <c r="R30" s="12" t="inlineStr"/>
    </row>
    <row r="31">
      <c r="A31" s="10" t="n">
        <v>30</v>
      </c>
      <c r="B31" s="13" t="inlineStr">
        <is>
          <t>建议核</t>
        </is>
      </c>
      <c r="C31" s="10" t="inlineStr">
        <is>
          <t>Ermağan et al., 2024</t>
        </is>
      </c>
      <c r="D31" s="10" t="inlineStr">
        <is>
          <t>S096</t>
        </is>
      </c>
      <c r="E31" s="10" t="inlineStr">
        <is>
          <t>核心</t>
        </is>
      </c>
      <c r="F31" s="10" t="inlineStr">
        <is>
          <t>Ermağan, U., Yıldız, B., Salman, F.S., 2024. Express shipments with autonomous robots and public transportation. Transp. Res. Part E Logist. Transp. Rev. 192, 103782. https://doi.org/10.1016/j.tre.2024.103782.</t>
        </is>
      </c>
      <c r="G31" s="10" t="inlineStr">
        <is>
          <t>https://doi.org/10.1016/j.tre.2024.103782</t>
        </is>
      </c>
      <c r="H31" s="10" t="inlineStr"/>
      <c r="I31" s="10" t="inlineStr">
        <is>
          <t>02_参考文献/论文全文/S096_Ermagan_2024.pdf</t>
        </is>
      </c>
      <c r="J31" s="10" t="inlineStr">
        <is>
          <t>R096：JOURNAL_VOR；TITLE_AUTHORS_VERIFIED; COMPLETE</t>
        </is>
      </c>
      <c r="K31" s="10" t="inlineStr">
        <is>
          <t>DOI/链接一致；标题一致</t>
        </is>
      </c>
      <c r="L31" s="10" t="inlineStr">
        <is>
          <t>对照原文首页或出版社页面，核对作者、年份、标题、期刊或会议、卷期页码和 DOI。</t>
        </is>
      </c>
      <c r="M31" s="12" t="inlineStr"/>
      <c r="N31" s="12" t="inlineStr"/>
      <c r="O31" s="12" t="inlineStr"/>
      <c r="P31" s="12" t="inlineStr"/>
      <c r="Q31" s="12" t="inlineStr"/>
      <c r="R31" s="12" t="inlineStr"/>
    </row>
    <row r="32">
      <c r="A32" s="10" t="n">
        <v>31</v>
      </c>
      <c r="B32" s="13" t="inlineStr">
        <is>
          <t>建议核</t>
        </is>
      </c>
      <c r="C32" s="10" t="inlineStr">
        <is>
          <t>Faldum et al., 2024</t>
        </is>
      </c>
      <c r="D32" s="10" t="inlineStr">
        <is>
          <t>S031</t>
        </is>
      </c>
      <c r="E32" s="10" t="inlineStr">
        <is>
          <t>核心</t>
        </is>
      </c>
      <c r="F32" s="10" t="inlineStr">
        <is>
          <t>Faldum, S., Machate, S., Gschwind, T., Irnich, S., 2024. Partial dominance in branch-price-and-cut algorithms for vehicle routing and scheduling problems with a single-segment tradeoff. OR Spectr. 46(4), 1063–1097. https://doi.org/10.1007/s00291-024-00766-y.</t>
        </is>
      </c>
      <c r="G32" s="10" t="inlineStr">
        <is>
          <t>https://doi.org/10.1007/s00291-024-00766-y</t>
        </is>
      </c>
      <c r="H32" s="10" t="inlineStr"/>
      <c r="I32" s="10" t="inlineStr">
        <is>
          <t>02_参考文献/论文全文/S031_Faldum_2024.pdf</t>
        </is>
      </c>
      <c r="J32" s="10" t="inlineStr">
        <is>
          <t>R031：JOURNAL_VOR；MATCHED_TITLE_AUTHORS_DOI; FULLTEXT_READ_INCLUDING_APPENDIX</t>
        </is>
      </c>
      <c r="K32" s="10" t="inlineStr">
        <is>
          <t>DOI/链接一致；标题一致</t>
        </is>
      </c>
      <c r="L32" s="10" t="inlineStr">
        <is>
          <t>对照原文首页或出版社页面，核对作者、年份、标题、期刊或会议、卷期页码和 DOI。</t>
        </is>
      </c>
      <c r="M32" s="12" t="inlineStr"/>
      <c r="N32" s="12" t="inlineStr"/>
      <c r="O32" s="12" t="inlineStr"/>
      <c r="P32" s="12" t="inlineStr"/>
      <c r="Q32" s="12" t="inlineStr"/>
      <c r="R32" s="12" t="inlineStr"/>
    </row>
    <row r="33">
      <c r="A33" s="10" t="n">
        <v>32</v>
      </c>
      <c r="B33" s="13" t="inlineStr">
        <is>
          <t>建议核</t>
        </is>
      </c>
      <c r="C33" s="10" t="inlineStr">
        <is>
          <t>Fan et al., 2026</t>
        </is>
      </c>
      <c r="D33" s="10" t="inlineStr">
        <is>
          <t>S005</t>
        </is>
      </c>
      <c r="E33" s="10" t="inlineStr">
        <is>
          <t>背景</t>
        </is>
      </c>
      <c r="F33" s="10" t="inlineStr">
        <is>
          <t>Fan, Z., Ghaddar, B., Wang, X., Xing, L., Zhang, Y., Zhou, Z., 2026. Artificial intelligence for optimization: Unleashing the potential of parameter generation, model formulation, and solution methods. Eur. J. Oper. Res. 332(1), 1–30. https://doi.org/10.1016/j.ejor.2025.08.029.</t>
        </is>
      </c>
      <c r="G33" s="10" t="inlineStr">
        <is>
          <t>https://doi.org/10.1016/j.ejor.2025.08.029</t>
        </is>
      </c>
      <c r="H33" s="10" t="inlineStr"/>
      <c r="I33" s="10" t="inlineStr">
        <is>
          <t>02_参考文献/论文全文/ 中以 S005_ 开头的文件</t>
        </is>
      </c>
      <c r="J33" s="10" t="inlineStr">
        <is>
          <t>R005：JOURNAL_VOR；MATCHED; FULL_MAIN_PDF_READ</t>
        </is>
      </c>
      <c r="K33" s="10" t="inlineStr">
        <is>
          <t>DOI/链接一致；标题一致</t>
        </is>
      </c>
      <c r="L33" s="10" t="inlineStr">
        <is>
          <t>对照原文首页或出版社页面，核对作者、年份、标题、期刊或会议、卷期页码和 DOI。</t>
        </is>
      </c>
      <c r="M33" s="12" t="inlineStr"/>
      <c r="N33" s="12" t="inlineStr"/>
      <c r="O33" s="12" t="inlineStr"/>
      <c r="P33" s="12" t="inlineStr"/>
      <c r="Q33" s="12" t="inlineStr"/>
      <c r="R33" s="12" t="inlineStr"/>
    </row>
    <row r="34">
      <c r="A34" s="10" t="n">
        <v>33</v>
      </c>
      <c r="B34" s="13" t="inlineStr">
        <is>
          <t>建议核</t>
        </is>
      </c>
      <c r="C34" s="10" t="inlineStr">
        <is>
          <t>Fang et al., 2023</t>
        </is>
      </c>
      <c r="D34" s="10" t="inlineStr">
        <is>
          <t>S087</t>
        </is>
      </c>
      <c r="E34" s="10" t="inlineStr">
        <is>
          <t>核心</t>
        </is>
      </c>
      <c r="F34" s="10" t="inlineStr">
        <is>
          <t>Fang, L., Yuan, H., Zhang, Y., Song, S., 2023. Accelerating Column Generation Algorithm Using Machine-Learning-Based Column Elimination. 2023 IEEE International Conference on Systems, Man, and Cybernetics (SMC), 1945–1950. https://doi.org/10.1109/smc53992.2023.10393948.</t>
        </is>
      </c>
      <c r="G34" s="10" t="inlineStr">
        <is>
          <t>https://doi.org/10.1109/smc53992.2023.10393948</t>
        </is>
      </c>
      <c r="H34" s="10" t="inlineStr"/>
      <c r="I34" s="10" t="inlineStr">
        <is>
          <t>02_参考文献/论文全文/S087_Fang_2023.pdf</t>
        </is>
      </c>
      <c r="J34" s="10" t="inlineStr">
        <is>
          <t>R087：CONFERENCE；MATCHED; FULL_MAIN_PDF_READ</t>
        </is>
      </c>
      <c r="K34" s="10" t="inlineStr">
        <is>
          <t>DOI/链接一致；标题一致</t>
        </is>
      </c>
      <c r="L34" s="10" t="inlineStr">
        <is>
          <t>对照原文首页或出版社页面，核对作者、年份、标题、期刊或会议、卷期页码和 DOI。</t>
        </is>
      </c>
      <c r="M34" s="12" t="inlineStr"/>
      <c r="N34" s="12" t="inlineStr"/>
      <c r="O34" s="12" t="inlineStr"/>
      <c r="P34" s="12" t="inlineStr"/>
      <c r="Q34" s="12" t="inlineStr"/>
      <c r="R34" s="12" t="inlineStr"/>
    </row>
    <row r="35">
      <c r="A35" s="10" t="n">
        <v>34</v>
      </c>
      <c r="B35" s="9" t="inlineStr">
        <is>
          <t>必核</t>
        </is>
      </c>
      <c r="C35" s="10" t="inlineStr">
        <is>
          <t>Farley, 1990</t>
        </is>
      </c>
      <c r="D35" s="10" t="inlineStr"/>
      <c r="E35" s="10" t="inlineStr">
        <is>
          <t>其他引用</t>
        </is>
      </c>
      <c r="F35" s="10" t="inlineStr">
        <is>
          <t>Farley, A.A., 1990. A Note on Bounding a Class of Linear Programming Problems, Including Cutting Stock Problems. Oper. Res. 38(5), 922–923. https://doi.org/10.1287/opre.38.5.922.</t>
        </is>
      </c>
      <c r="G35" s="10" t="inlineStr">
        <is>
          <t>https://doi.org/10.1287/opre.38.5.922</t>
        </is>
      </c>
      <c r="H35" s="10" t="inlineStr"/>
      <c r="I35" s="10" t="inlineStr">
        <is>
          <t>未获取原文：按 DOI 打开出版社页面或摘要核对</t>
        </is>
      </c>
      <c r="J35" s="10" t="inlineStr">
        <is>
          <t>数据包中没有该文献的记录</t>
        </is>
      </c>
      <c r="K35" s="10" t="inlineStr">
        <is>
          <t>无法自动比对，请按 DOI 核对</t>
        </is>
      </c>
      <c r="L35" s="10" t="inlineStr">
        <is>
          <t>数据包中没有这篇文献的记录：请打开 DOI 链接，逐项核对作者、年份、标题、期刊或书名、卷期页码和 DOI。</t>
        </is>
      </c>
      <c r="M35" s="12" t="inlineStr"/>
      <c r="N35" s="12" t="inlineStr"/>
      <c r="O35" s="12" t="inlineStr"/>
      <c r="P35" s="12" t="inlineStr"/>
      <c r="Q35" s="12" t="inlineStr"/>
      <c r="R35" s="12" t="inlineStr"/>
    </row>
    <row r="36">
      <c r="A36" s="10" t="n">
        <v>35</v>
      </c>
      <c r="B36" s="13" t="inlineStr">
        <is>
          <t>建议核</t>
        </is>
      </c>
      <c r="C36" s="10" t="inlineStr">
        <is>
          <t>Feillet, 2010</t>
        </is>
      </c>
      <c r="D36" s="10" t="inlineStr">
        <is>
          <t>S012</t>
        </is>
      </c>
      <c r="E36" s="10" t="inlineStr">
        <is>
          <t>背景</t>
        </is>
      </c>
      <c r="F36" s="10" t="inlineStr">
        <is>
          <t>Feillet, D., 2010. A tutorial on column generation and branch-and-price for vehicle routing problems. 4OR 8(4), 407–424. https://doi.org/10.1007/s10288-010-0130-z.</t>
        </is>
      </c>
      <c r="G36" s="10" t="inlineStr">
        <is>
          <t>https://doi.org/10.1007/s10288-010-0130-z</t>
        </is>
      </c>
      <c r="H36" s="10" t="inlineStr"/>
      <c r="I36" s="10" t="inlineStr">
        <is>
          <t>02_参考文献/论文全文/ 中以 S012_ 开头的文件</t>
        </is>
      </c>
      <c r="J36" s="10" t="inlineStr">
        <is>
          <t>R012：JOURNAL_VOR；TITLE_AUTHORS_VERIFIED; COMPLETE</t>
        </is>
      </c>
      <c r="K36" s="10" t="inlineStr">
        <is>
          <t>DOI/链接一致；标题一致</t>
        </is>
      </c>
      <c r="L36" s="10" t="inlineStr">
        <is>
          <t>对照原文首页或出版社页面，核对作者、年份、标题、期刊或会议、卷期页码和 DOI。</t>
        </is>
      </c>
      <c r="M36" s="12" t="inlineStr"/>
      <c r="N36" s="12" t="inlineStr"/>
      <c r="O36" s="12" t="inlineStr"/>
      <c r="P36" s="12" t="inlineStr"/>
      <c r="Q36" s="12" t="inlineStr"/>
      <c r="R36" s="12" t="inlineStr"/>
    </row>
    <row r="37">
      <c r="A37" s="10" t="n">
        <v>36</v>
      </c>
      <c r="B37" s="13" t="inlineStr">
        <is>
          <t>建议核</t>
        </is>
      </c>
      <c r="C37" s="10" t="inlineStr">
        <is>
          <t>Feillet et al., 2004</t>
        </is>
      </c>
      <c r="D37" s="10" t="inlineStr">
        <is>
          <t>S026</t>
        </is>
      </c>
      <c r="E37" s="10" t="inlineStr">
        <is>
          <t>核心</t>
        </is>
      </c>
      <c r="F37" s="10" t="inlineStr">
        <is>
          <t>Feillet, D., Dejax, P., Gendreau, M., Gueguen, C., 2004. An exact algorithm for the elementary shortest path problem with resource constraints: Application to some vehicle routing problems. Networks 44(3), 216–229. https://doi.org/10.1002/net.20033.</t>
        </is>
      </c>
      <c r="G37" s="10" t="inlineStr">
        <is>
          <t>https://doi.org/10.1002/net.20033</t>
        </is>
      </c>
      <c r="H37" s="10" t="inlineStr"/>
      <c r="I37" s="10" t="inlineStr">
        <is>
          <t>02_参考文献/论文全文/S026_Feillet_2004.pdf</t>
        </is>
      </c>
      <c r="J37" s="10" t="inlineStr">
        <is>
          <t>R026：JOURNAL_VOR；MATCHED_TITLE_AUTHORS_DOI; FULLTEXT_READ_INCLUDING_REFERENCES</t>
        </is>
      </c>
      <c r="K37" s="10" t="inlineStr">
        <is>
          <t>DOI/链接一致；标题一致</t>
        </is>
      </c>
      <c r="L37" s="10" t="inlineStr">
        <is>
          <t>对照原文首页或出版社页面，核对作者、年份、标题、期刊或会议、卷期页码和 DOI。</t>
        </is>
      </c>
      <c r="M37" s="12" t="inlineStr"/>
      <c r="N37" s="12" t="inlineStr"/>
      <c r="O37" s="12" t="inlineStr"/>
      <c r="P37" s="12" t="inlineStr"/>
      <c r="Q37" s="12" t="inlineStr"/>
      <c r="R37" s="12" t="inlineStr"/>
    </row>
    <row r="38">
      <c r="A38" s="10" t="n">
        <v>37</v>
      </c>
      <c r="B38" s="13" t="inlineStr">
        <is>
          <t>建议核</t>
        </is>
      </c>
      <c r="C38" s="10" t="inlineStr">
        <is>
          <t>Furian et al., 2021</t>
        </is>
      </c>
      <c r="D38" s="10" t="inlineStr">
        <is>
          <t>S049</t>
        </is>
      </c>
      <c r="E38" s="10" t="inlineStr">
        <is>
          <t>核心</t>
        </is>
      </c>
      <c r="F38" s="10" t="inlineStr">
        <is>
          <t>Furian, N., O’Sullivan, M., Walker, C., Çela, E., 2021. A machine learning-based branch and price algorithm for a sampled vehicle routing problem. OR Spectr. 43(3), 693–732. https://doi.org/10.1007/s00291-020-00615-8.</t>
        </is>
      </c>
      <c r="G38" s="10" t="inlineStr">
        <is>
          <t>https://doi.org/10.1007/s00291-020-00615-8</t>
        </is>
      </c>
      <c r="H38" s="10" t="inlineStr"/>
      <c r="I38" s="10" t="inlineStr">
        <is>
          <t>02_参考文献/论文全文/S049_Furian_2021.pdf</t>
        </is>
      </c>
      <c r="J38" s="10" t="inlineStr">
        <is>
          <t>R049：JOURNAL_VOR；MATCH; COMPLETE_SUPPLIED_PDF</t>
        </is>
      </c>
      <c r="K38" s="10" t="inlineStr">
        <is>
          <t>DOI/链接一致；标题一致</t>
        </is>
      </c>
      <c r="L38" s="10" t="inlineStr">
        <is>
          <t>对照原文首页或出版社页面，核对作者、年份、标题、期刊或会议、卷期页码和 DOI。</t>
        </is>
      </c>
      <c r="M38" s="12" t="inlineStr"/>
      <c r="N38" s="12" t="inlineStr"/>
      <c r="O38" s="12" t="inlineStr"/>
      <c r="P38" s="12" t="inlineStr"/>
      <c r="Q38" s="12" t="inlineStr"/>
      <c r="R38" s="12" t="inlineStr"/>
    </row>
    <row r="39">
      <c r="A39" s="10" t="n">
        <v>38</v>
      </c>
      <c r="B39" s="13" t="inlineStr">
        <is>
          <t>建议核</t>
        </is>
      </c>
      <c r="C39" s="10" t="inlineStr">
        <is>
          <t>Gao et al., 2025</t>
        </is>
      </c>
      <c r="D39" s="10" t="inlineStr">
        <is>
          <t>S069</t>
        </is>
      </c>
      <c r="E39" s="10" t="inlineStr">
        <is>
          <t>核心</t>
        </is>
      </c>
      <c r="F39" s="10" t="inlineStr">
        <is>
          <t>Gao, M., Chen, Y., Zhang, Z., Wahab, M., 2025. Learning-based column generation approach for the vehicle routing problem with release dates and incompatible loading constraints. Comput. Oper. Res. 183, 107152. https://doi.org/10.1016/j.cor.2025.107152.</t>
        </is>
      </c>
      <c r="G39" s="10" t="inlineStr">
        <is>
          <t>https://doi.org/10.1016/j.cor.2025.107152</t>
        </is>
      </c>
      <c r="H39" s="10" t="inlineStr"/>
      <c r="I39" s="10" t="inlineStr">
        <is>
          <t>02_参考文献/论文全文/S069_Gao_2025.pdf</t>
        </is>
      </c>
      <c r="J39" s="10" t="inlineStr">
        <is>
          <t>R069：JOURNAL_VOR；MATCH; COMPLETE_SUPPLIED_PDF</t>
        </is>
      </c>
      <c r="K39" s="10" t="inlineStr">
        <is>
          <t>DOI/链接一致；标题一致</t>
        </is>
      </c>
      <c r="L39" s="10" t="inlineStr">
        <is>
          <t>对照原文首页或出版社页面，核对作者、年份、标题、期刊或会议、卷期页码和 DOI。</t>
        </is>
      </c>
      <c r="M39" s="12" t="inlineStr"/>
      <c r="N39" s="12" t="inlineStr"/>
      <c r="O39" s="12" t="inlineStr"/>
      <c r="P39" s="12" t="inlineStr"/>
      <c r="Q39" s="12" t="inlineStr"/>
      <c r="R39" s="12" t="inlineStr"/>
    </row>
    <row r="40">
      <c r="A40" s="10" t="n">
        <v>39</v>
      </c>
      <c r="B40" s="9" t="inlineStr">
        <is>
          <t>必核</t>
        </is>
      </c>
      <c r="C40" s="10" t="inlineStr">
        <is>
          <t>Gasse et al., 2019</t>
        </is>
      </c>
      <c r="D40" s="10" t="inlineStr"/>
      <c r="E40" s="10" t="inlineStr">
        <is>
          <t>其他引用</t>
        </is>
      </c>
      <c r="F40" s="10" t="inlineStr">
        <is>
          <t>Gasse, M., Chételat, D., Ferroni, N., Charlin, L., Lodi, A., 2019. Exact Combinatorial Optimization with Graph Convolutional Neural Networks. Advances in Neural Information Processing Systems 32. https://papers.neurips.cc/paper_files/paper/2019/file/d14c2267d848abeb81fd590f371d39bd-Paper.pdf.</t>
        </is>
      </c>
      <c r="G40" s="10" t="inlineStr">
        <is>
          <t>https://papers.neurips.cc/paper_files/paper/2019/file/d14c2267d848abeb81fd590f371d39bd-Paper.pdf</t>
        </is>
      </c>
      <c r="H40" s="10" t="inlineStr"/>
      <c r="I40" s="10" t="inlineStr">
        <is>
          <t>90_过程归档/大修_v1.5/fulltext/Gasse/PDFs/Exact_Combinatorial_Optimization_with_Graph_Convolutional_Neural_Networks.pdf</t>
        </is>
      </c>
      <c r="J40" s="10" t="inlineStr">
        <is>
          <t>数据包中没有该文献的记录</t>
        </is>
      </c>
      <c r="K40" s="10" t="inlineStr">
        <is>
          <t>无法自动比对，请按 DOI 核对</t>
        </is>
      </c>
      <c r="L40" s="10" t="inlineStr">
        <is>
          <t>数据包中没有这篇文献的记录：请打开 DOI 链接，逐项核对作者、年份、标题、期刊或书名、卷期页码和 DOI。</t>
        </is>
      </c>
      <c r="M40" s="12" t="inlineStr"/>
      <c r="N40" s="12" t="inlineStr"/>
      <c r="O40" s="12" t="inlineStr"/>
      <c r="P40" s="12" t="inlineStr"/>
      <c r="Q40" s="12" t="inlineStr"/>
      <c r="R40" s="12" t="inlineStr"/>
    </row>
    <row r="41">
      <c r="A41" s="10" t="n">
        <v>40</v>
      </c>
      <c r="B41" s="13" t="inlineStr">
        <is>
          <t>建议核</t>
        </is>
      </c>
      <c r="C41" s="10" t="inlineStr">
        <is>
          <t>Gerbaux et al., 2025</t>
        </is>
      </c>
      <c r="D41" s="10" t="inlineStr">
        <is>
          <t>S081</t>
        </is>
      </c>
      <c r="E41" s="10" t="inlineStr">
        <is>
          <t>核心</t>
        </is>
      </c>
      <c r="F41" s="10" t="inlineStr">
        <is>
          <t>Gerbaux, J., Desaulniers, G., Cappart, Q., 2025. A machine-learning-based column generation heuristic for electric bus scheduling. Comput. Oper. Res. 173, 106848. https://doi.org/10.1016/j.cor.2024.106848.</t>
        </is>
      </c>
      <c r="G41" s="10" t="inlineStr">
        <is>
          <t>https://doi.org/10.1016/j.cor.2024.106848</t>
        </is>
      </c>
      <c r="H41" s="10" t="inlineStr"/>
      <c r="I41" s="10" t="inlineStr">
        <is>
          <t>02_参考文献/论文全文/S081_Gerbaux_2025.pdf</t>
        </is>
      </c>
      <c r="J41" s="10" t="inlineStr">
        <is>
          <t>R081：JOURNAL_VOR；MATCHED; FULL_MAIN_PDF_READ</t>
        </is>
      </c>
      <c r="K41" s="10" t="inlineStr">
        <is>
          <t>DOI/链接一致；标题一致</t>
        </is>
      </c>
      <c r="L41" s="10" t="inlineStr">
        <is>
          <t>对照原文首页或出版社页面，核对作者、年份、标题、期刊或会议、卷期页码和 DOI。</t>
        </is>
      </c>
      <c r="M41" s="12" t="inlineStr"/>
      <c r="N41" s="12" t="inlineStr"/>
      <c r="O41" s="12" t="inlineStr"/>
      <c r="P41" s="12" t="inlineStr"/>
      <c r="Q41" s="12" t="inlineStr"/>
      <c r="R41" s="12" t="inlineStr"/>
    </row>
    <row r="42">
      <c r="A42" s="10" t="n">
        <v>41</v>
      </c>
      <c r="B42" s="13" t="inlineStr">
        <is>
          <t>建议核</t>
        </is>
      </c>
      <c r="C42" s="10" t="inlineStr">
        <is>
          <t>Gondzio and González-Brevis, 2015</t>
        </is>
      </c>
      <c r="D42" s="10" t="inlineStr">
        <is>
          <t>S042</t>
        </is>
      </c>
      <c r="E42" s="10" t="inlineStr">
        <is>
          <t>核心</t>
        </is>
      </c>
      <c r="F42" s="10" t="inlineStr">
        <is>
          <t>Gondzio, J., González-Brevis, P., 2015. A new warmstarting strategy for the primal-dual column generation method. Math. Program. 152(1-2), 113–146. https://doi.org/10.1007/s10107-014-0779-8.</t>
        </is>
      </c>
      <c r="G42" s="10" t="inlineStr">
        <is>
          <t>https://doi.org/10.1007/s10107-014-0779-8</t>
        </is>
      </c>
      <c r="H42" s="10" t="inlineStr"/>
      <c r="I42" s="10" t="inlineStr">
        <is>
          <t>02_参考文献/论文全文/S042_Gondzio_2015.pdf</t>
        </is>
      </c>
      <c r="J42" s="10" t="inlineStr">
        <is>
          <t>R042：JOURNAL_VOR；MATCHED_TITLE_AUTHORS_DOI; FULLTEXT_READ_INCLUDING_REFERENCES</t>
        </is>
      </c>
      <c r="K42" s="10" t="inlineStr">
        <is>
          <t>DOI/链接一致；标题一致</t>
        </is>
      </c>
      <c r="L42" s="10" t="inlineStr">
        <is>
          <t>对照原文首页或出版社页面，核对作者、年份、标题、期刊或会议、卷期页码和 DOI。</t>
        </is>
      </c>
      <c r="M42" s="12" t="inlineStr"/>
      <c r="N42" s="12" t="inlineStr"/>
      <c r="O42" s="12" t="inlineStr"/>
      <c r="P42" s="12" t="inlineStr"/>
      <c r="Q42" s="12" t="inlineStr"/>
      <c r="R42" s="12" t="inlineStr"/>
    </row>
    <row r="43">
      <c r="A43" s="10" t="n">
        <v>42</v>
      </c>
      <c r="B43" s="13" t="inlineStr">
        <is>
          <t>建议核</t>
        </is>
      </c>
      <c r="C43" s="10" t="inlineStr">
        <is>
          <t>Gondzio et al., 2013</t>
        </is>
      </c>
      <c r="D43" s="10" t="inlineStr">
        <is>
          <t>S041</t>
        </is>
      </c>
      <c r="E43" s="10" t="inlineStr">
        <is>
          <t>核心</t>
        </is>
      </c>
      <c r="F43" s="10" t="inlineStr">
        <is>
          <t>Gondzio, J., González-Brevis, P., Munari, P., 2013. New developments in the primal–dual column generation technique. Eur. J. Oper. Res. 224(1), 41–51. https://doi.org/10.1016/j.ejor.2012.07.024.</t>
        </is>
      </c>
      <c r="G43" s="10" t="inlineStr">
        <is>
          <t>https://doi.org/10.1016/j.ejor.2012.07.024</t>
        </is>
      </c>
      <c r="H43" s="10" t="inlineStr"/>
      <c r="I43" s="10" t="inlineStr">
        <is>
          <t>02_参考文献/论文全文/S041_Gondzio_2013.pdf</t>
        </is>
      </c>
      <c r="J43" s="10" t="inlineStr">
        <is>
          <t>R041：JOURNAL_VOR；MATCHED_TITLE_AUTHORS_DOI; FULLTEXT_READ_INCLUDING_REFERENCES</t>
        </is>
      </c>
      <c r="K43" s="10" t="inlineStr">
        <is>
          <t>DOI/链接一致；标题一致</t>
        </is>
      </c>
      <c r="L43" s="10" t="inlineStr">
        <is>
          <t>对照原文首页或出版社页面，核对作者、年份、标题、期刊或会议、卷期页码和 DOI。</t>
        </is>
      </c>
      <c r="M43" s="12" t="inlineStr"/>
      <c r="N43" s="12" t="inlineStr"/>
      <c r="O43" s="12" t="inlineStr"/>
      <c r="P43" s="12" t="inlineStr"/>
      <c r="Q43" s="12" t="inlineStr"/>
      <c r="R43" s="12" t="inlineStr"/>
    </row>
    <row r="44">
      <c r="A44" s="10" t="n">
        <v>43</v>
      </c>
      <c r="B44" s="13" t="inlineStr">
        <is>
          <t>建议核</t>
        </is>
      </c>
      <c r="C44" s="10" t="inlineStr">
        <is>
          <t>Gschwind and Irnich, 2015</t>
        </is>
      </c>
      <c r="D44" s="10" t="inlineStr">
        <is>
          <t>S028</t>
        </is>
      </c>
      <c r="E44" s="10" t="inlineStr">
        <is>
          <t>核心</t>
        </is>
      </c>
      <c r="F44" s="10" t="inlineStr">
        <is>
          <t>Gschwind, T., Irnich, S., 2015. Effective Handling of Dynamic Time Windows and Its Application to Solving the Dial-a-Ride Problem. Transp. Sci. 49(2), 335–354. https://doi.org/10.1287/trsc.2014.0531.</t>
        </is>
      </c>
      <c r="G44" s="10" t="inlineStr">
        <is>
          <t>https://doi.org/10.1287/trsc.2014.0531</t>
        </is>
      </c>
      <c r="H44" s="10" t="inlineStr"/>
      <c r="I44" s="10" t="inlineStr">
        <is>
          <t>02_参考文献/论文全文/S028_Gschwind_2015.pdf</t>
        </is>
      </c>
      <c r="J44" s="10" t="inlineStr">
        <is>
          <t>R028：JOURNAL_VOR；MATCHED_TITLE_AUTHORS_DOI; FULL_MAIN_TEXT_READ;ONLINE_APPENDICES_A_TO_E_NOT_ACCESSED</t>
        </is>
      </c>
      <c r="K44" s="10" t="inlineStr">
        <is>
          <t>DOI/链接一致；标题一致</t>
        </is>
      </c>
      <c r="L44" s="10" t="inlineStr">
        <is>
          <t>对照原文首页或出版社页面，核对作者、年份、标题、期刊或会议、卷期页码和 DOI。</t>
        </is>
      </c>
      <c r="M44" s="12" t="inlineStr"/>
      <c r="N44" s="12" t="inlineStr"/>
      <c r="O44" s="12" t="inlineStr"/>
      <c r="P44" s="12" t="inlineStr"/>
      <c r="Q44" s="12" t="inlineStr"/>
      <c r="R44" s="12" t="inlineStr"/>
    </row>
    <row r="45">
      <c r="A45" s="10" t="n">
        <v>44</v>
      </c>
      <c r="B45" s="13" t="inlineStr">
        <is>
          <t>建议核</t>
        </is>
      </c>
      <c r="C45" s="10" t="inlineStr">
        <is>
          <t>Gschwind and Irnich, 2016</t>
        </is>
      </c>
      <c r="D45" s="10" t="inlineStr">
        <is>
          <t>S047</t>
        </is>
      </c>
      <c r="E45" s="10" t="inlineStr">
        <is>
          <t>核心</t>
        </is>
      </c>
      <c r="F45" s="10" t="inlineStr">
        <is>
          <t>Gschwind, T., Irnich, S., 2016. Dual Inequalities for Stabilized Column Generation Revisited. INFORMS J. Comput. 28(1), 175–194. https://doi.org/10.1287/ijoc.2015.0670.</t>
        </is>
      </c>
      <c r="G45" s="10" t="inlineStr">
        <is>
          <t>https://doi.org/10.1287/ijoc.2015.0670</t>
        </is>
      </c>
      <c r="H45" s="10" t="inlineStr"/>
      <c r="I45" s="10" t="inlineStr">
        <is>
          <t>02_参考文献/论文全文/S047_Gschwind_2016.pdf</t>
        </is>
      </c>
      <c r="J45" s="10" t="inlineStr">
        <is>
          <t>R047：JOURNAL_VOR；MATCHED_TITLE_AUTHORS_DOI; SUPPLIED_FULLTEXT_READ; ONLINE_SUPPLEMENT_NOT_ACCESSED</t>
        </is>
      </c>
      <c r="K45" s="10" t="inlineStr">
        <is>
          <t>DOI/链接一致；标题一致</t>
        </is>
      </c>
      <c r="L45" s="10" t="inlineStr">
        <is>
          <t>对照原文首页或出版社页面，核对作者、年份、标题、期刊或会议、卷期页码和 DOI。</t>
        </is>
      </c>
      <c r="M45" s="12" t="inlineStr"/>
      <c r="N45" s="12" t="inlineStr"/>
      <c r="O45" s="12" t="inlineStr"/>
      <c r="P45" s="12" t="inlineStr"/>
      <c r="Q45" s="12" t="inlineStr"/>
      <c r="R45" s="12" t="inlineStr"/>
    </row>
    <row r="46">
      <c r="A46" s="10" t="n">
        <v>45</v>
      </c>
      <c r="B46" s="13" t="inlineStr">
        <is>
          <t>建议核</t>
        </is>
      </c>
      <c r="C46" s="10" t="inlineStr">
        <is>
          <t>Gualandi and Malucelli, 2012</t>
        </is>
      </c>
      <c r="D46" s="10" t="inlineStr">
        <is>
          <t>S046</t>
        </is>
      </c>
      <c r="E46" s="10" t="inlineStr">
        <is>
          <t>核心</t>
        </is>
      </c>
      <c r="F46" s="10" t="inlineStr">
        <is>
          <t>Gualandi, S., Malucelli, F., 2012. Exact Solution of Graph Coloring Problems via Constraint Programming and Column Generation. INFORMS J. Comput. 24(1), 81–100. https://doi.org/10.1287/ijoc.1100.0436.</t>
        </is>
      </c>
      <c r="G46" s="10" t="inlineStr">
        <is>
          <t>https://doi.org/10.1287/ijoc.1100.0436</t>
        </is>
      </c>
      <c r="H46" s="10" t="inlineStr"/>
      <c r="I46" s="10" t="inlineStr">
        <is>
          <t>02_参考文献/论文全文/S046_Gualandi_2012.pdf</t>
        </is>
      </c>
      <c r="J46" s="10" t="inlineStr">
        <is>
          <t>R046：JOURNAL_VOR；MATCHED; FULL_MAIN_PDF_READ</t>
        </is>
      </c>
      <c r="K46" s="10" t="inlineStr">
        <is>
          <t>DOI/链接一致；标题一致</t>
        </is>
      </c>
      <c r="L46" s="10" t="inlineStr">
        <is>
          <t>对照原文首页或出版社页面，核对作者、年份、标题、期刊或会议、卷期页码和 DOI。</t>
        </is>
      </c>
      <c r="M46" s="12" t="inlineStr"/>
      <c r="N46" s="12" t="inlineStr"/>
      <c r="O46" s="12" t="inlineStr"/>
      <c r="P46" s="12" t="inlineStr"/>
      <c r="Q46" s="12" t="inlineStr"/>
      <c r="R46" s="12" t="inlineStr"/>
    </row>
    <row r="47">
      <c r="A47" s="10" t="n">
        <v>46</v>
      </c>
      <c r="B47" s="9" t="inlineStr">
        <is>
          <t>必核</t>
        </is>
      </c>
      <c r="C47" s="10" t="inlineStr">
        <is>
          <t>Heßler and Irnich, 2023</t>
        </is>
      </c>
      <c r="D47" s="10" t="inlineStr"/>
      <c r="E47" s="10" t="inlineStr">
        <is>
          <t>其他引用</t>
        </is>
      </c>
      <c r="F47" s="10" t="inlineStr">
        <is>
          <t>Heßler, K., Irnich, S., 2023. Partial Dominance in Branch-Price-and-Cut for the Basic Multicompartment Vehicle-Routing Problem. INFORMS J. Comput. 35(1), 50–65. https://doi.org/10.1287/ijoc.2022.1255.</t>
        </is>
      </c>
      <c r="G47" s="10" t="inlineStr">
        <is>
          <t>https://doi.org/10.1287/ijoc.2022.1255</t>
        </is>
      </c>
      <c r="H47" s="10" t="inlineStr"/>
      <c r="I47" s="10" t="inlineStr">
        <is>
          <t>未获取原文：按 DOI 打开出版社页面或摘要核对</t>
        </is>
      </c>
      <c r="J47" s="10" t="inlineStr">
        <is>
          <t>数据包中没有该文献的记录</t>
        </is>
      </c>
      <c r="K47" s="10" t="inlineStr">
        <is>
          <t>无法自动比对，请按 DOI 核对</t>
        </is>
      </c>
      <c r="L47" s="10" t="inlineStr">
        <is>
          <t>数据包中没有这篇文献的记录：请打开 DOI 链接，逐项核对作者、年份、标题、期刊或书名、卷期页码和 DOI。</t>
        </is>
      </c>
      <c r="M47" s="12" t="inlineStr"/>
      <c r="N47" s="12" t="inlineStr"/>
      <c r="O47" s="12" t="inlineStr"/>
      <c r="P47" s="12" t="inlineStr"/>
      <c r="Q47" s="12" t="inlineStr"/>
      <c r="R47" s="12" t="inlineStr"/>
    </row>
    <row r="48">
      <c r="A48" s="10" t="n">
        <v>47</v>
      </c>
      <c r="B48" s="13" t="inlineStr">
        <is>
          <t>建议核</t>
        </is>
      </c>
      <c r="C48" s="10" t="inlineStr">
        <is>
          <t>Hijazi et al., 2026</t>
        </is>
      </c>
      <c r="D48" s="10" t="inlineStr">
        <is>
          <t>S068</t>
        </is>
      </c>
      <c r="E48" s="10" t="inlineStr">
        <is>
          <t>核心</t>
        </is>
      </c>
      <c r="F48" s="10" t="inlineStr">
        <is>
          <t>Hijazi, A., Özaltın, O.Y., Uzsoy, R., 2026. An Improving Column Is All You Need: Enhancing Column Generation for Parallel Machine Scheduling via Transformers. INFORMS J. Comput., Articles in Advance. https://doi.org/10.1287/ijoc.2024.1005.</t>
        </is>
      </c>
      <c r="G48" s="10" t="inlineStr">
        <is>
          <t>https://doi.org/10.1287/ijoc.2024.1005</t>
        </is>
      </c>
      <c r="H48" s="10" t="inlineStr"/>
      <c r="I48" s="10" t="inlineStr">
        <is>
          <t>02_参考文献/论文全文/S068_Hijazi_2026.pdf</t>
        </is>
      </c>
      <c r="J48" s="10" t="inlineStr">
        <is>
          <t>R068：JOURNAL_ADVANCE；MATCH; COMPLETE_SUPPLIED_PDF</t>
        </is>
      </c>
      <c r="K48" s="10" t="inlineStr">
        <is>
          <t>DOI/链接一致；标题一致</t>
        </is>
      </c>
      <c r="L48" s="10" t="inlineStr">
        <is>
          <t>对照原文首页或出版社页面，核对作者、年份、标题、期刊或会议、卷期页码和 DOI。</t>
        </is>
      </c>
      <c r="M48" s="12" t="inlineStr"/>
      <c r="N48" s="12" t="inlineStr"/>
      <c r="O48" s="12" t="inlineStr"/>
      <c r="P48" s="12" t="inlineStr"/>
      <c r="Q48" s="12" t="inlineStr"/>
      <c r="R48" s="12" t="inlineStr"/>
    </row>
    <row r="49">
      <c r="A49" s="10" t="n">
        <v>48</v>
      </c>
      <c r="B49" s="13" t="inlineStr">
        <is>
          <t>建议核</t>
        </is>
      </c>
      <c r="C49" s="10" t="inlineStr">
        <is>
          <t>Himmich et al., 2024</t>
        </is>
      </c>
      <c r="D49" s="10" t="inlineStr">
        <is>
          <t>S029</t>
        </is>
      </c>
      <c r="E49" s="10" t="inlineStr">
        <is>
          <t>核心</t>
        </is>
      </c>
      <c r="F49" s="10" t="inlineStr">
        <is>
          <t>Himmich, I., El Hallaoui, I., Soumis, F., 2024. A multiphase dynamic programming algorithm for the shortest path problem with resource constraints. Eur. J. Oper. Res. 315(2), 470–483. https://doi.org/10.1016/j.ejor.2023.11.047.</t>
        </is>
      </c>
      <c r="G49" s="10" t="inlineStr">
        <is>
          <t>https://doi.org/10.1016/j.ejor.2023.11.047</t>
        </is>
      </c>
      <c r="H49" s="10" t="inlineStr"/>
      <c r="I49" s="10" t="inlineStr">
        <is>
          <t>02_参考文献/论文全文/S029_Himmich_2024.pdf</t>
        </is>
      </c>
      <c r="J49" s="10" t="inlineStr">
        <is>
          <t>R029：JOURNAL_VOR；MATCHED_TITLE_AUTHORS_DOI; SUPPLIED_FULLTEXT_READ; ONLINE_SUPPLEMENT_NOT_ACCESSED</t>
        </is>
      </c>
      <c r="K49" s="10" t="inlineStr">
        <is>
          <t>DOI/链接一致；标题一致</t>
        </is>
      </c>
      <c r="L49" s="10" t="inlineStr">
        <is>
          <t>对照原文首页或出版社页面，核对作者、年份、标题、期刊或会议、卷期页码和 DOI。</t>
        </is>
      </c>
      <c r="M49" s="12" t="inlineStr"/>
      <c r="N49" s="12" t="inlineStr"/>
      <c r="O49" s="12" t="inlineStr"/>
      <c r="P49" s="12" t="inlineStr"/>
      <c r="Q49" s="12" t="inlineStr"/>
      <c r="R49" s="12" t="inlineStr"/>
    </row>
    <row r="50">
      <c r="A50" s="10" t="n">
        <v>49</v>
      </c>
      <c r="B50" s="9" t="inlineStr">
        <is>
          <t>必核</t>
        </is>
      </c>
      <c r="C50" s="10" t="inlineStr">
        <is>
          <t>Hu et al., 2024</t>
        </is>
      </c>
      <c r="D50" s="10" t="inlineStr">
        <is>
          <t>S059</t>
        </is>
      </c>
      <c r="E50" s="10" t="inlineStr">
        <is>
          <t>补充报告（S059 的另一份报告）</t>
        </is>
      </c>
      <c r="F50" s="10" t="inlineStr">
        <is>
          <t>Hu, Y.-X., Wu, F., Li, S., Zhao, Y., Li, X.-Y., 2024. FFCG: Effective and Fast Family Column Generation for Solving Large-Scale Linear Program. arXiv preprint, 2412.19066v1 [Preprint; not peer reviewed]. https://arxiv.org/abs/2412.19066v1.</t>
        </is>
      </c>
      <c r="G50" s="10" t="inlineStr">
        <is>
          <t>https://arxiv.org/abs/2412.19066v1</t>
        </is>
      </c>
      <c r="H50" s="10" t="inlineStr">
        <is>
          <t>预印本（Preprint）</t>
        </is>
      </c>
      <c r="I50" s="10" t="inlineStr">
        <is>
          <t>90_过程归档/大修_v1.5/fulltext/Hu/PDFs/FFCG_extended_arXiv_version.pdf</t>
        </is>
      </c>
      <c r="J50" s="10" t="inlineStr">
        <is>
          <t>R059-V2：PREPRINT；UNVERIFIED</t>
        </is>
      </c>
      <c r="K50" s="10" t="inlineStr">
        <is>
          <t>DOI/链接一致；标题一致</t>
        </is>
      </c>
      <c r="L50" s="10" t="inlineStr">
        <is>
          <t>预印本，也是 S059 的扩展报告（arXiv 2412.19066v1，正文和附录共 12 页 PDF）：确认条目信息与 arXiv 页面一致、版本号和页数与 Table A.2 一致；检查是否有新的正式版本（AAAI 2025 会议版已单列为 Hu et al., 2025，不算新版本）。</t>
        </is>
      </c>
      <c r="M50" s="12" t="inlineStr"/>
      <c r="N50" s="12" t="inlineStr"/>
      <c r="O50" s="12" t="inlineStr"/>
      <c r="P50" s="12" t="inlineStr"/>
      <c r="Q50" s="12" t="inlineStr"/>
      <c r="R50" s="12" t="inlineStr"/>
    </row>
    <row r="51">
      <c r="A51" s="10" t="n">
        <v>50</v>
      </c>
      <c r="B51" s="13" t="inlineStr">
        <is>
          <t>建议核</t>
        </is>
      </c>
      <c r="C51" s="10" t="inlineStr">
        <is>
          <t>Hu et al., 2025</t>
        </is>
      </c>
      <c r="D51" s="10" t="inlineStr">
        <is>
          <t>S059</t>
        </is>
      </c>
      <c r="E51" s="10" t="inlineStr">
        <is>
          <t>核心</t>
        </is>
      </c>
      <c r="F51" s="10" t="inlineStr">
        <is>
          <t>Hu, Y.-X., Wu, F., Li, S., Zhao, Y., Li, X.-Y., 2025. FFCG: Effective and Fast Family Column Generation for Solving Large-Scale Linear Program. Proceedings of the AAAI Conference on Artificial Intelligence 39(11), 11238–11245. https://doi.org/10.1609/aaai.v39i11.33222.</t>
        </is>
      </c>
      <c r="G51" s="10" t="inlineStr">
        <is>
          <t>https://doi.org/10.1609/aaai.v39i11.33222</t>
        </is>
      </c>
      <c r="H51" s="10" t="inlineStr"/>
      <c r="I51" s="10" t="inlineStr">
        <is>
          <t>02_参考文献/论文全文/S059_Hu_2025.pdf</t>
        </is>
      </c>
      <c r="J51" s="10" t="inlineStr">
        <is>
          <t>R059：CONFERENCE；MATCH; COMPLETE_SUPPLIED_PDF</t>
        </is>
      </c>
      <c r="K51" s="10" t="inlineStr">
        <is>
          <t>DOI/链接一致；标题一致</t>
        </is>
      </c>
      <c r="L51" s="10" t="inlineStr">
        <is>
          <t>对照原文首页或出版社页面，核对作者、年份、标题、期刊或会议、卷期页码和 DOI。</t>
        </is>
      </c>
      <c r="M51" s="12" t="inlineStr"/>
      <c r="N51" s="12" t="inlineStr"/>
      <c r="O51" s="12" t="inlineStr"/>
      <c r="P51" s="12" t="inlineStr"/>
      <c r="Q51" s="12" t="inlineStr"/>
      <c r="R51" s="12" t="inlineStr"/>
    </row>
    <row r="52">
      <c r="A52" s="10" t="n">
        <v>51</v>
      </c>
      <c r="B52" s="13" t="inlineStr">
        <is>
          <t>建议核</t>
        </is>
      </c>
      <c r="C52" s="10" t="inlineStr">
        <is>
          <t>Huo et al., 2023</t>
        </is>
      </c>
      <c r="D52" s="10" t="inlineStr">
        <is>
          <t>S085</t>
        </is>
      </c>
      <c r="E52" s="10" t="inlineStr">
        <is>
          <t>核心</t>
        </is>
      </c>
      <c r="F52" s="10" t="inlineStr">
        <is>
          <t>Huo, Y., Chen, Z., Bu, J., Yin, M., 2023. Learning assisted column generation for model predictive control based energy management in microgrids. Energy Reports 9, 88–97. https://doi.org/10.1016/j.egyr.2023.04.330.</t>
        </is>
      </c>
      <c r="G52" s="10" t="inlineStr">
        <is>
          <t>https://doi.org/10.1016/j.egyr.2023.04.330</t>
        </is>
      </c>
      <c r="H52" s="10" t="inlineStr"/>
      <c r="I52" s="10" t="inlineStr">
        <is>
          <t>02_参考文献/论文全文/S085_Huo_2023.pdf</t>
        </is>
      </c>
      <c r="J52" s="10" t="inlineStr">
        <is>
          <t>R085：JOURNAL_VOR；MATCHED; FULL_MAIN_PDF_READ</t>
        </is>
      </c>
      <c r="K52" s="10" t="inlineStr">
        <is>
          <t>DOI/链接一致；标题一致</t>
        </is>
      </c>
      <c r="L52" s="10" t="inlineStr">
        <is>
          <t>对照原文首页或出版社页面，核对作者、年份、标题、期刊或会议、卷期页码和 DOI。</t>
        </is>
      </c>
      <c r="M52" s="12" t="inlineStr"/>
      <c r="N52" s="12" t="inlineStr"/>
      <c r="O52" s="12" t="inlineStr"/>
      <c r="P52" s="12" t="inlineStr"/>
      <c r="Q52" s="12" t="inlineStr"/>
      <c r="R52" s="12" t="inlineStr"/>
    </row>
    <row r="53">
      <c r="A53" s="10" t="n">
        <v>52</v>
      </c>
      <c r="B53" s="13" t="inlineStr">
        <is>
          <t>建议核</t>
        </is>
      </c>
      <c r="C53" s="10" t="inlineStr">
        <is>
          <t>Irnich et al., 2010</t>
        </is>
      </c>
      <c r="D53" s="10" t="inlineStr">
        <is>
          <t>S044</t>
        </is>
      </c>
      <c r="E53" s="10" t="inlineStr">
        <is>
          <t>核心</t>
        </is>
      </c>
      <c r="F53" s="10" t="inlineStr">
        <is>
          <t>Irnich, S., Desaulniers, G., Desrosiers, J., Hadjar, A., 2010. Path-Reduced Costs for Eliminating Arcs in Routing and Scheduling. INFORMS J. Comput. 22(2), 297–313. https://doi.org/10.1287/ijoc.1090.0341.</t>
        </is>
      </c>
      <c r="G53" s="10" t="inlineStr">
        <is>
          <t>https://doi.org/10.1287/ijoc.1090.0341</t>
        </is>
      </c>
      <c r="H53" s="10" t="inlineStr"/>
      <c r="I53" s="10" t="inlineStr">
        <is>
          <t>02_参考文献/论文全文/S044_Irnich_2010.pdf</t>
        </is>
      </c>
      <c r="J53" s="10" t="inlineStr">
        <is>
          <t>R044：JOURNAL_VOR；MATCHED_TITLE_AUTHORS_DOI; SUPPLIED_FULLTEXT_READ; ONLINE_SUPPLEMENT_NOT_ACCESSED</t>
        </is>
      </c>
      <c r="K53" s="10" t="inlineStr">
        <is>
          <t>DOI/链接一致；标题一致</t>
        </is>
      </c>
      <c r="L53" s="10" t="inlineStr">
        <is>
          <t>对照原文首页或出版社页面，核对作者、年份、标题、期刊或会议、卷期页码和 DOI。</t>
        </is>
      </c>
      <c r="M53" s="12" t="inlineStr"/>
      <c r="N53" s="12" t="inlineStr"/>
      <c r="O53" s="12" t="inlineStr"/>
      <c r="P53" s="12" t="inlineStr"/>
      <c r="Q53" s="12" t="inlineStr"/>
      <c r="R53" s="12" t="inlineStr"/>
    </row>
    <row r="54">
      <c r="A54" s="10" t="n">
        <v>53</v>
      </c>
      <c r="B54" s="9" t="inlineStr">
        <is>
          <t>必核</t>
        </is>
      </c>
      <c r="C54" s="10" t="inlineStr">
        <is>
          <t>Jepsen et al., 2008</t>
        </is>
      </c>
      <c r="D54" s="10" t="inlineStr"/>
      <c r="E54" s="10" t="inlineStr">
        <is>
          <t>其他引用</t>
        </is>
      </c>
      <c r="F54" s="10" t="inlineStr">
        <is>
          <t>Jepsen, M., Petersen, B., Spoorendonk, S., Pisinger, D., 2008. Subset-Row Inequalities Applied to the Vehicle-Routing Problem with Time Windows. Oper. Res. 56(2), 497–511. https://doi.org/10.1287/opre.1070.0449.</t>
        </is>
      </c>
      <c r="G54" s="10" t="inlineStr">
        <is>
          <t>https://doi.org/10.1287/opre.1070.0449</t>
        </is>
      </c>
      <c r="H54" s="10" t="inlineStr"/>
      <c r="I54" s="10" t="inlineStr">
        <is>
          <t>未获取原文：按 DOI 打开出版社页面或摘要核对</t>
        </is>
      </c>
      <c r="J54" s="10" t="inlineStr">
        <is>
          <t>数据包中没有该文献的记录</t>
        </is>
      </c>
      <c r="K54" s="10" t="inlineStr">
        <is>
          <t>无法自动比对，请按 DOI 核对</t>
        </is>
      </c>
      <c r="L54" s="10" t="inlineStr">
        <is>
          <t>数据包中没有这篇文献的记录：请打开 DOI 链接，逐项核对作者、年份、标题、期刊或书名、卷期页码和 DOI。</t>
        </is>
      </c>
      <c r="M54" s="12" t="inlineStr"/>
      <c r="N54" s="12" t="inlineStr"/>
      <c r="O54" s="12" t="inlineStr"/>
      <c r="P54" s="12" t="inlineStr"/>
      <c r="Q54" s="12" t="inlineStr"/>
      <c r="R54" s="12" t="inlineStr"/>
    </row>
    <row r="55">
      <c r="A55" s="10" t="n">
        <v>54</v>
      </c>
      <c r="B55" s="13" t="inlineStr">
        <is>
          <t>建议核</t>
        </is>
      </c>
      <c r="C55" s="10" t="inlineStr">
        <is>
          <t>Jin and Yu, 2023</t>
        </is>
      </c>
      <c r="D55" s="10" t="inlineStr">
        <is>
          <t>S104</t>
        </is>
      </c>
      <c r="E55" s="10" t="inlineStr">
        <is>
          <t>支撑</t>
        </is>
      </c>
      <c r="F55" s="10" t="inlineStr">
        <is>
          <t>Jin, X., Yu, S., 2023. A Learning-Based Framework for Constrained Shortest Path Problems. 2023 IEEE International Conference on Systems, Man, and Cybernetics (SMC), 62–68. https://doi.org/10.1109/SMC53992.2023.10394613.</t>
        </is>
      </c>
      <c r="G55" s="10" t="inlineStr">
        <is>
          <t>https://doi.org/10.1109/SMC53992.2023.10394613</t>
        </is>
      </c>
      <c r="H55" s="10" t="inlineStr"/>
      <c r="I55" s="10" t="inlineStr">
        <is>
          <t>02_参考文献/论文全文/CL026_Jin_2023.pdf</t>
        </is>
      </c>
      <c r="J55" s="10" t="inlineStr">
        <is>
          <t>R104：CONFERENCE_PAPER；TITLE_AUTHORS_DOI_AND_PROCEEDINGS_PAGES_VERIFIED; COMPLETE</t>
        </is>
      </c>
      <c r="K55" s="10" t="inlineStr">
        <is>
          <t>DOI/链接一致；标题一致</t>
        </is>
      </c>
      <c r="L55" s="10" t="inlineStr">
        <is>
          <t>对照原文首页或出版社页面，核对作者、年份、标题、期刊或会议、卷期页码和 DOI。</t>
        </is>
      </c>
      <c r="M55" s="12" t="inlineStr"/>
      <c r="N55" s="12" t="inlineStr"/>
      <c r="O55" s="12" t="inlineStr"/>
      <c r="P55" s="12" t="inlineStr"/>
      <c r="Q55" s="12" t="inlineStr"/>
      <c r="R55" s="12" t="inlineStr"/>
    </row>
    <row r="56">
      <c r="A56" s="10" t="n">
        <v>55</v>
      </c>
      <c r="B56" s="9" t="inlineStr">
        <is>
          <t>必核</t>
        </is>
      </c>
      <c r="C56" s="10" t="inlineStr">
        <is>
          <t>Karimi and Seifi, 2015</t>
        </is>
      </c>
      <c r="D56" s="10" t="inlineStr"/>
      <c r="E56" s="10" t="inlineStr">
        <is>
          <t>其他引用</t>
        </is>
      </c>
      <c r="F56" s="10" t="inlineStr">
        <is>
          <t>Karimi, H., Seifi, A., 2015. Analytic centre stabilization of column generation algorithm for the capacitated vehicle routing problem. Optim. Methods Softw. 30(6), 1109–1125. https://doi.org/10.1080/10556788.2015.1025134.</t>
        </is>
      </c>
      <c r="G56" s="10" t="inlineStr">
        <is>
          <t>https://doi.org/10.1080/10556788.2015.1025134</t>
        </is>
      </c>
      <c r="H56" s="10" t="inlineStr"/>
      <c r="I56" s="10" t="inlineStr">
        <is>
          <t>未获取原文：按 DOI 打开出版社页面或摘要核对</t>
        </is>
      </c>
      <c r="J56" s="10" t="inlineStr">
        <is>
          <t>数据包中没有该文献的记录</t>
        </is>
      </c>
      <c r="K56" s="10" t="inlineStr">
        <is>
          <t>无法自动比对，请按 DOI 核对</t>
        </is>
      </c>
      <c r="L56" s="10" t="inlineStr">
        <is>
          <t>数据包中没有这篇文献的记录：请打开 DOI 链接，逐项核对作者、年份、标题、期刊或书名、卷期页码和 DOI。</t>
        </is>
      </c>
      <c r="M56" s="12" t="inlineStr"/>
      <c r="N56" s="12" t="inlineStr"/>
      <c r="O56" s="12" t="inlineStr"/>
      <c r="P56" s="12" t="inlineStr"/>
      <c r="Q56" s="12" t="inlineStr"/>
      <c r="R56" s="12" t="inlineStr"/>
    </row>
    <row r="57">
      <c r="A57" s="10" t="n">
        <v>56</v>
      </c>
      <c r="B57" s="9" t="inlineStr">
        <is>
          <t>必核</t>
        </is>
      </c>
      <c r="C57" s="10" t="inlineStr">
        <is>
          <t>Khalil et al., 2016</t>
        </is>
      </c>
      <c r="D57" s="10" t="inlineStr"/>
      <c r="E57" s="10" t="inlineStr">
        <is>
          <t>其他引用</t>
        </is>
      </c>
      <c r="F57" s="10" t="inlineStr">
        <is>
          <t>Khalil, E., Le Bodic, P., Song, L., Nemhauser, G., Dilkina, B., 2016. Learning to Branch in Mixed Integer Programming. Proceedings of the AAAI Conference on Artificial Intelligence 30(1), 724–731. https://doi.org/10.1609/aaai.v30i1.10080.</t>
        </is>
      </c>
      <c r="G57" s="10" t="inlineStr">
        <is>
          <t>https://doi.org/10.1609/aaai.v30i1.10080</t>
        </is>
      </c>
      <c r="H57" s="10" t="inlineStr"/>
      <c r="I57" s="10" t="inlineStr">
        <is>
          <t>90_过程归档/大修_v1.5/fulltext/Khalil/PDFs/Learning_to_Branch_in_Mixed_Integer_Programming.pdf</t>
        </is>
      </c>
      <c r="J57" s="10" t="inlineStr">
        <is>
          <t>数据包中没有该文献的记录</t>
        </is>
      </c>
      <c r="K57" s="10" t="inlineStr">
        <is>
          <t>无法自动比对，请按 DOI 核对</t>
        </is>
      </c>
      <c r="L57" s="10" t="inlineStr">
        <is>
          <t>数据包中没有这篇文献的记录：请打开 DOI 链接，逐项核对作者、年份、标题、期刊或书名、卷期页码和 DOI。</t>
        </is>
      </c>
      <c r="M57" s="12" t="inlineStr"/>
      <c r="N57" s="12" t="inlineStr"/>
      <c r="O57" s="12" t="inlineStr"/>
      <c r="P57" s="12" t="inlineStr"/>
      <c r="Q57" s="12" t="inlineStr"/>
      <c r="R57" s="12" t="inlineStr"/>
    </row>
    <row r="58">
      <c r="A58" s="10" t="n">
        <v>57</v>
      </c>
      <c r="B58" s="13" t="inlineStr">
        <is>
          <t>建议核</t>
        </is>
      </c>
      <c r="C58" s="10" t="inlineStr">
        <is>
          <t>Koutecká et al., 2025</t>
        </is>
      </c>
      <c r="D58" s="10" t="inlineStr">
        <is>
          <t>S058</t>
        </is>
      </c>
      <c r="E58" s="10" t="inlineStr">
        <is>
          <t>核心</t>
        </is>
      </c>
      <c r="F58" s="10" t="inlineStr">
        <is>
          <t>Koutecká, P., Šůcha, P., Hůla, J., Maenhout, B., 2025. A machine learning approach to rank pricing problems in branch-and-price. Eur. J. Oper. Res. 320(2), 328–342. https://doi.org/10.1016/j.ejor.2024.07.029.</t>
        </is>
      </c>
      <c r="G58" s="10" t="inlineStr">
        <is>
          <t>https://doi.org/10.1016/j.ejor.2024.07.029</t>
        </is>
      </c>
      <c r="H58" s="10" t="inlineStr"/>
      <c r="I58" s="10" t="inlineStr">
        <is>
          <t>02_参考文献/论文全文/S058_Koutecka_2025.pdf</t>
        </is>
      </c>
      <c r="J58" s="10" t="inlineStr">
        <is>
          <t>R058：JOURNAL_VOR；MATCH; COMPLETE_SUPPLIED_PDF</t>
        </is>
      </c>
      <c r="K58" s="10" t="inlineStr">
        <is>
          <t>DOI/链接一致；标题一致</t>
        </is>
      </c>
      <c r="L58" s="10" t="inlineStr">
        <is>
          <t>对照原文首页或出版社页面，核对作者、年份、标题、期刊或会议、卷期页码和 DOI。</t>
        </is>
      </c>
      <c r="M58" s="12" t="inlineStr"/>
      <c r="N58" s="12" t="inlineStr"/>
      <c r="O58" s="12" t="inlineStr"/>
      <c r="P58" s="12" t="inlineStr"/>
      <c r="Q58" s="12" t="inlineStr"/>
      <c r="R58" s="12" t="inlineStr"/>
    </row>
    <row r="59">
      <c r="A59" s="10" t="n">
        <v>58</v>
      </c>
      <c r="B59" s="13" t="inlineStr">
        <is>
          <t>建议核</t>
        </is>
      </c>
      <c r="C59" s="10" t="inlineStr">
        <is>
          <t>Kraul et al., 2023</t>
        </is>
      </c>
      <c r="D59" s="10" t="inlineStr">
        <is>
          <t>S056</t>
        </is>
      </c>
      <c r="E59" s="10" t="inlineStr">
        <is>
          <t>核心</t>
        </is>
      </c>
      <c r="F59" s="10" t="inlineStr">
        <is>
          <t>Kraul, S., Seizinger, M., Brunner, J.O., 2023. Machine Learning–Supported Prediction of Dual Variables for the Cutting Stock Problem with an Application in Stabilized Column Generation. INFORMS J. Comput. 35(3), 692–709. https://doi.org/10.1287/ijoc.2023.1277.</t>
        </is>
      </c>
      <c r="G59" s="10" t="inlineStr">
        <is>
          <t>https://doi.org/10.1287/ijoc.2023.1277</t>
        </is>
      </c>
      <c r="H59" s="10" t="inlineStr"/>
      <c r="I59" s="10" t="inlineStr">
        <is>
          <t>02_参考文献/论文全文/S056_Kraul_2023.pdf</t>
        </is>
      </c>
      <c r="J59" s="10" t="inlineStr">
        <is>
          <t>R056：JOURNAL_VOR；MATCH; COMPLETE_SUPPLIED_PDF</t>
        </is>
      </c>
      <c r="K59" s="10" t="inlineStr">
        <is>
          <t>DOI/链接一致；标题一致</t>
        </is>
      </c>
      <c r="L59" s="10" t="inlineStr">
        <is>
          <t>对照原文首页或出版社页面，核对作者、年份、标题、期刊或会议、卷期页码和 DOI。</t>
        </is>
      </c>
      <c r="M59" s="12" t="inlineStr"/>
      <c r="N59" s="12" t="inlineStr"/>
      <c r="O59" s="12" t="inlineStr"/>
      <c r="P59" s="12" t="inlineStr"/>
      <c r="Q59" s="12" t="inlineStr"/>
      <c r="R59" s="12" t="inlineStr"/>
    </row>
    <row r="60">
      <c r="A60" s="10" t="n">
        <v>59</v>
      </c>
      <c r="B60" s="9" t="inlineStr">
        <is>
          <t>必核</t>
        </is>
      </c>
      <c r="C60" s="10" t="inlineStr">
        <is>
          <t>Kruber et al., 2017</t>
        </is>
      </c>
      <c r="D60" s="10" t="inlineStr"/>
      <c r="E60" s="10" t="inlineStr">
        <is>
          <t>其他引用</t>
        </is>
      </c>
      <c r="F60" s="10" t="inlineStr">
        <is>
          <t>Kruber, M., Lübbecke, M.E., Parmentier, A., 2017. Learning When to Use a Decomposition. Integration of AI and OR Techniques in Constraint Programming, 202–210. https://doi.org/10.1007/978-3-319-59776-8_16.</t>
        </is>
      </c>
      <c r="G60" s="10" t="inlineStr">
        <is>
          <t>https://doi.org/10.1007/978-3-319-59776-8_16</t>
        </is>
      </c>
      <c r="H60" s="10" t="inlineStr"/>
      <c r="I60" s="10" t="inlineStr">
        <is>
          <t>90_过程归档/大修_v1.5/fulltext/Kruber/PDFs/Learning_When_to_Use_a_Decomposition.pdf</t>
        </is>
      </c>
      <c r="J60" s="10" t="inlineStr">
        <is>
          <t>数据包中没有该文献的记录</t>
        </is>
      </c>
      <c r="K60" s="10" t="inlineStr">
        <is>
          <t>无法自动比对，请按 DOI 核对</t>
        </is>
      </c>
      <c r="L60" s="10" t="inlineStr">
        <is>
          <t>数据包中没有这篇文献的记录：请打开 DOI 链接，逐项核对作者、年份、标题、期刊或书名、卷期页码和 DOI。</t>
        </is>
      </c>
      <c r="M60" s="12" t="inlineStr"/>
      <c r="N60" s="12" t="inlineStr"/>
      <c r="O60" s="12" t="inlineStr"/>
      <c r="P60" s="12" t="inlineStr"/>
      <c r="Q60" s="12" t="inlineStr"/>
      <c r="R60" s="12" t="inlineStr"/>
    </row>
    <row r="61">
      <c r="A61" s="10" t="n">
        <v>60</v>
      </c>
      <c r="B61" s="9" t="inlineStr">
        <is>
          <t>必核</t>
        </is>
      </c>
      <c r="C61" s="10" t="inlineStr">
        <is>
          <t>Kumar and Aghalaya, 2026</t>
        </is>
      </c>
      <c r="D61" s="10" t="inlineStr">
        <is>
          <t>S092</t>
        </is>
      </c>
      <c r="E61" s="10" t="inlineStr">
        <is>
          <t>核心</t>
        </is>
      </c>
      <c r="F61" s="10" t="inlineStr">
        <is>
          <t>Kumar, D., Aghalaya, S., 2026. Knowledge-Augmented Column Generation for Airline Crew Pairing: Agentic LLM Intervention for Dual Interpretation and Early Termination. SSRN preprint [Preprint; not peer reviewed]. https://doi.org/10.2139/ssrn.7355988.</t>
        </is>
      </c>
      <c r="G61" s="10" t="inlineStr">
        <is>
          <t>https://doi.org/10.2139/ssrn.7355988</t>
        </is>
      </c>
      <c r="H61" s="10" t="inlineStr">
        <is>
          <t>预印本（Preprint）</t>
        </is>
      </c>
      <c r="I61" s="10" t="inlineStr">
        <is>
          <t>02_参考文献/论文全文/S092_Kumar_2026.pdf</t>
        </is>
      </c>
      <c r="J61" s="10" t="inlineStr">
        <is>
          <t>R092：PREPRINT；TITLE_MATCH_AUTHOR_DATE_NOT_IN_PDF; FULL_MAIN_PDF_READ</t>
        </is>
      </c>
      <c r="K61" s="10" t="inlineStr">
        <is>
          <t>DOI/链接一致；标题一致</t>
        </is>
      </c>
      <c r="L61" s="10" t="inlineStr">
        <is>
          <t>这是预印本：请检查是否已经正式发表；若已发表，按正式版本更新条目（作者、年份、标题、期刊、卷期页码、DOI），并告诉我，以便调整正文中的年份后缀和“预印本”说明。</t>
        </is>
      </c>
      <c r="M61" s="12" t="inlineStr"/>
      <c r="N61" s="12" t="inlineStr"/>
      <c r="O61" s="12" t="inlineStr"/>
      <c r="P61" s="12" t="inlineStr"/>
      <c r="Q61" s="12" t="inlineStr"/>
      <c r="R61" s="12" t="inlineStr"/>
    </row>
    <row r="62">
      <c r="A62" s="10" t="n">
        <v>61</v>
      </c>
      <c r="B62" s="13" t="inlineStr">
        <is>
          <t>建议核</t>
        </is>
      </c>
      <c r="C62" s="10" t="inlineStr">
        <is>
          <t>Li et al., 2026</t>
        </is>
      </c>
      <c r="D62" s="10" t="inlineStr">
        <is>
          <t>S090</t>
        </is>
      </c>
      <c r="E62" s="10" t="inlineStr">
        <is>
          <t>核心</t>
        </is>
      </c>
      <c r="F62" s="10" t="inlineStr">
        <is>
          <t>Li, K., Niwunhella, H., Hajibabai, L., Hajbabaie, A., 2026. Machine learning-guided column generation for a maximal covering location–allocation problem. Sustainability Analytics and Modeling 6, 100069. https://doi.org/10.1016/j.samod.2026.100069.</t>
        </is>
      </c>
      <c r="G62" s="10" t="inlineStr">
        <is>
          <t>https://doi.org/10.1016/j.samod.2026.100069</t>
        </is>
      </c>
      <c r="H62" s="10" t="inlineStr"/>
      <c r="I62" s="10" t="inlineStr">
        <is>
          <t>02_参考文献/论文全文/S090_Li_2026.pdf</t>
        </is>
      </c>
      <c r="J62" s="10" t="inlineStr">
        <is>
          <t>R090：JOURNAL_VOR；MATCHED; FULL_MAIN_PDF_READ</t>
        </is>
      </c>
      <c r="K62" s="10" t="inlineStr">
        <is>
          <t>DOI/链接一致；标题一致</t>
        </is>
      </c>
      <c r="L62" s="10" t="inlineStr">
        <is>
          <t>对照原文首页或出版社页面，核对作者、年份、标题、期刊或会议、卷期页码和 DOI。</t>
        </is>
      </c>
      <c r="M62" s="12" t="inlineStr"/>
      <c r="N62" s="12" t="inlineStr"/>
      <c r="O62" s="12" t="inlineStr"/>
      <c r="P62" s="12" t="inlineStr"/>
      <c r="Q62" s="12" t="inlineStr"/>
      <c r="R62" s="12" t="inlineStr"/>
    </row>
    <row r="63">
      <c r="A63" s="10" t="n">
        <v>62</v>
      </c>
      <c r="B63" s="13" t="inlineStr">
        <is>
          <t>建议核</t>
        </is>
      </c>
      <c r="C63" s="10" t="inlineStr">
        <is>
          <t>Lodi and Zarpellon, 2017</t>
        </is>
      </c>
      <c r="D63" s="10" t="inlineStr">
        <is>
          <t>S009</t>
        </is>
      </c>
      <c r="E63" s="10" t="inlineStr">
        <is>
          <t>语境综述（已排除编码）</t>
        </is>
      </c>
      <c r="F63" s="10" t="inlineStr">
        <is>
          <t>Lodi, A., Zarpellon, G., 2017. On learning and branching: a survey. TOP 25(2), 207–236. https://doi.org/10.1007/s11750-017-0451-6.</t>
        </is>
      </c>
      <c r="G63" s="10" t="inlineStr">
        <is>
          <t>https://doi.org/10.1007/s11750-017-0451-6</t>
        </is>
      </c>
      <c r="H63" s="10" t="inlineStr"/>
      <c r="I63" s="10" t="inlineStr">
        <is>
          <t>02_参考文献/论文全文/ 中以 S009_ 开头的文件</t>
        </is>
      </c>
      <c r="J63" s="10" t="inlineStr">
        <is>
          <t>R009：JOURNAL_VOR；TITLE_AUTHORS_VERIFIED; ELIGIBILITY_SCREENED</t>
        </is>
      </c>
      <c r="K63" s="10" t="inlineStr">
        <is>
          <t>DOI/链接一致；标题一致</t>
        </is>
      </c>
      <c r="L63" s="10" t="inlineStr">
        <is>
          <t>对照原文首页或出版社页面，核对作者、年份、标题、期刊或会议、卷期页码和 DOI。</t>
        </is>
      </c>
      <c r="M63" s="12" t="inlineStr"/>
      <c r="N63" s="12" t="inlineStr"/>
      <c r="O63" s="12" t="inlineStr"/>
      <c r="P63" s="12" t="inlineStr"/>
      <c r="Q63" s="12" t="inlineStr"/>
      <c r="R63" s="12" t="inlineStr"/>
    </row>
    <row r="64">
      <c r="A64" s="10" t="n">
        <v>63</v>
      </c>
      <c r="B64" s="13" t="inlineStr">
        <is>
          <t>建议核</t>
        </is>
      </c>
      <c r="C64" s="10" t="inlineStr">
        <is>
          <t>Lu and Qian, 2025</t>
        </is>
      </c>
      <c r="D64" s="10" t="inlineStr">
        <is>
          <t>S093</t>
        </is>
      </c>
      <c r="E64" s="10" t="inlineStr">
        <is>
          <t>核心</t>
        </is>
      </c>
      <c r="F64" s="10" t="inlineStr">
        <is>
          <t>Lu, J., Qian, X., 2025. A Reinforcement Learning Approach for Initialization of Column Generation with Application to Aircraft Recovery Problem. Proceedings of the 10th International Conference on Cyber Security and Information Engineering, 9–13. https://doi.org/10.1145/3759179.3759181.</t>
        </is>
      </c>
      <c r="G64" s="10" t="inlineStr">
        <is>
          <t>https://doi.org/10.1145/3759179.3759181</t>
        </is>
      </c>
      <c r="H64" s="10" t="inlineStr"/>
      <c r="I64" s="10" t="inlineStr">
        <is>
          <t>02_参考文献/论文全文/S093_Lu_2025.pdf</t>
        </is>
      </c>
      <c r="J64" s="10" t="inlineStr">
        <is>
          <t>R093：CONFERENCE；MATCHED; FULL_MAIN_PDF_READ</t>
        </is>
      </c>
      <c r="K64" s="10" t="inlineStr">
        <is>
          <t>DOI/链接一致；标题一致</t>
        </is>
      </c>
      <c r="L64" s="10" t="inlineStr">
        <is>
          <t>对照原文首页或出版社页面，核对作者、年份、标题、期刊或会议、卷期页码和 DOI。</t>
        </is>
      </c>
      <c r="M64" s="12" t="inlineStr"/>
      <c r="N64" s="12" t="inlineStr"/>
      <c r="O64" s="12" t="inlineStr"/>
      <c r="P64" s="12" t="inlineStr"/>
      <c r="Q64" s="12" t="inlineStr"/>
      <c r="R64" s="12" t="inlineStr"/>
    </row>
    <row r="65">
      <c r="A65" s="10" t="n">
        <v>64</v>
      </c>
      <c r="B65" s="13" t="inlineStr">
        <is>
          <t>建议核</t>
        </is>
      </c>
      <c r="C65" s="10" t="inlineStr">
        <is>
          <t>Lu et al., 2025</t>
        </is>
      </c>
      <c r="D65" s="10" t="inlineStr">
        <is>
          <t>S078</t>
        </is>
      </c>
      <c r="E65" s="10" t="inlineStr">
        <is>
          <t>核心</t>
        </is>
      </c>
      <c r="F65" s="10" t="inlineStr">
        <is>
          <t>Lu, J., Ye, T., Chen, W., Van Hentenryck, P., 2025. Boosting column generation with graph neural networks for joint rider trip planning and crew shift scheduling. Transp. Res. Part E Logist. Transp. Rev. 202, 104281. https://doi.org/10.1016/j.tre.2025.104281.</t>
        </is>
      </c>
      <c r="G65" s="10" t="inlineStr">
        <is>
          <t>https://doi.org/10.1016/j.tre.2025.104281</t>
        </is>
      </c>
      <c r="H65" s="10" t="inlineStr"/>
      <c r="I65" s="10" t="inlineStr">
        <is>
          <t>02_参考文献/论文全文/S078_Lu_2025.pdf</t>
        </is>
      </c>
      <c r="J65" s="10" t="inlineStr">
        <is>
          <t>R078：JOURNAL_VOR；MATCHED; FULL_MAIN_PDF_READ</t>
        </is>
      </c>
      <c r="K65" s="10" t="inlineStr">
        <is>
          <t>DOI/链接一致；标题一致</t>
        </is>
      </c>
      <c r="L65" s="10" t="inlineStr">
        <is>
          <t>对照原文首页或出版社页面，核对作者、年份、标题、期刊或会议、卷期页码和 DOI。</t>
        </is>
      </c>
      <c r="M65" s="12" t="inlineStr"/>
      <c r="N65" s="12" t="inlineStr"/>
      <c r="O65" s="12" t="inlineStr"/>
      <c r="P65" s="12" t="inlineStr"/>
      <c r="Q65" s="12" t="inlineStr"/>
      <c r="R65" s="12" t="inlineStr"/>
    </row>
    <row r="66">
      <c r="A66" s="10" t="n">
        <v>65</v>
      </c>
      <c r="B66" s="9" t="inlineStr">
        <is>
          <t>必核</t>
        </is>
      </c>
      <c r="C66" s="10" t="inlineStr">
        <is>
          <t>Lübbecke, 2005</t>
        </is>
      </c>
      <c r="D66" s="10" t="inlineStr"/>
      <c r="E66" s="10" t="inlineStr">
        <is>
          <t>其他引用</t>
        </is>
      </c>
      <c r="F66" s="10" t="inlineStr">
        <is>
          <t>Lübbecke, M.E., 2005. Dual variable based fathoming in dynamic programs for column generation. Eur. J. Oper. Res. 162(1), 122–125. https://doi.org/10.1016/j.ejor.2003.05.006.</t>
        </is>
      </c>
      <c r="G66" s="10" t="inlineStr">
        <is>
          <t>https://doi.org/10.1016/j.ejor.2003.05.006</t>
        </is>
      </c>
      <c r="H66" s="10" t="inlineStr"/>
      <c r="I66" s="10" t="inlineStr">
        <is>
          <t>未获取原文：按 DOI 打开出版社页面或摘要核对</t>
        </is>
      </c>
      <c r="J66" s="10" t="inlineStr">
        <is>
          <t>数据包中没有该文献的记录</t>
        </is>
      </c>
      <c r="K66" s="10" t="inlineStr">
        <is>
          <t>无法自动比对，请按 DOI 核对</t>
        </is>
      </c>
      <c r="L66" s="10" t="inlineStr">
        <is>
          <t>数据包中没有这篇文献的记录：请打开 DOI 链接，逐项核对作者、年份、标题、期刊或书名、卷期页码和 DOI。</t>
        </is>
      </c>
      <c r="M66" s="12" t="inlineStr"/>
      <c r="N66" s="12" t="inlineStr"/>
      <c r="O66" s="12" t="inlineStr"/>
      <c r="P66" s="12" t="inlineStr"/>
      <c r="Q66" s="12" t="inlineStr"/>
      <c r="R66" s="12" t="inlineStr"/>
    </row>
    <row r="67">
      <c r="A67" s="10" t="n">
        <v>66</v>
      </c>
      <c r="B67" s="13" t="inlineStr">
        <is>
          <t>建议核</t>
        </is>
      </c>
      <c r="C67" s="10" t="inlineStr">
        <is>
          <t>Lübbecke and Desrosiers, 2005</t>
        </is>
      </c>
      <c r="D67" s="10" t="inlineStr">
        <is>
          <t>S001</t>
        </is>
      </c>
      <c r="E67" s="10" t="inlineStr">
        <is>
          <t>背景</t>
        </is>
      </c>
      <c r="F67" s="10" t="inlineStr">
        <is>
          <t>Lübbecke, M.E., Desrosiers, J., 2005. Selected Topics in Column Generation. Oper. Res. 53(6), 1007–1023. https://doi.org/10.1287/opre.1050.0234.</t>
        </is>
      </c>
      <c r="G67" s="10" t="inlineStr">
        <is>
          <t>https://doi.org/10.1287/opre.1050.0234</t>
        </is>
      </c>
      <c r="H67" s="10" t="inlineStr"/>
      <c r="I67" s="10" t="inlineStr">
        <is>
          <t>02_参考文献/论文全文/ 中以 S001_ 开头的文件</t>
        </is>
      </c>
      <c r="J67" s="10" t="inlineStr">
        <is>
          <t>R001：JOURNAL_VOR；METADATA_VERIFIED; FULLTEXT_CODING_PENDING；R001-V1：AUTHOR_MANUSCRIPT；TITLE_AUTHORS_VERIFIED; COMPLETE</t>
        </is>
      </c>
      <c r="K67" s="10" t="inlineStr">
        <is>
          <t>DOI/链接一致；标题一致</t>
        </is>
      </c>
      <c r="L67" s="10" t="inlineStr">
        <is>
          <t>对照原文首页或出版社页面，核对作者、年份、标题、期刊或会议、卷期页码和 DOI。</t>
        </is>
      </c>
      <c r="M67" s="12" t="inlineStr"/>
      <c r="N67" s="12" t="inlineStr"/>
      <c r="O67" s="12" t="inlineStr"/>
      <c r="P67" s="12" t="inlineStr"/>
      <c r="Q67" s="12" t="inlineStr"/>
      <c r="R67" s="12" t="inlineStr"/>
    </row>
    <row r="68">
      <c r="A68" s="10" t="n">
        <v>67</v>
      </c>
      <c r="B68" s="13" t="inlineStr">
        <is>
          <t>建议核</t>
        </is>
      </c>
      <c r="C68" s="10" t="inlineStr">
        <is>
          <t>Maher and Rönnberg, 2023</t>
        </is>
      </c>
      <c r="D68" s="10" t="inlineStr">
        <is>
          <t>S020</t>
        </is>
      </c>
      <c r="E68" s="10" t="inlineStr">
        <is>
          <t>核心</t>
        </is>
      </c>
      <c r="F68" s="10" t="inlineStr">
        <is>
          <t>Maher, S.J., Rönnberg, E., 2023. Integer programming column generation: accelerating branch-and-price using a novel pricing scheme for finding high-quality solutions in set covering, packing, and partitioning problems. Mathematical Programming Computation 15(3), 509–548. https://doi.org/10.1007/s12532-023-00240-w.</t>
        </is>
      </c>
      <c r="G68" s="10" t="inlineStr">
        <is>
          <t>https://doi.org/10.1007/s12532-023-00240-w</t>
        </is>
      </c>
      <c r="H68" s="10" t="inlineStr"/>
      <c r="I68" s="10" t="inlineStr">
        <is>
          <t>02_参考文献/论文全文/S020_Maher_2023.pdf</t>
        </is>
      </c>
      <c r="J68" s="10" t="inlineStr">
        <is>
          <t>R020：JOURNAL_VOR；MATCHED; FULL_MAIN_PDF_READ</t>
        </is>
      </c>
      <c r="K68" s="10" t="inlineStr">
        <is>
          <t>DOI/链接一致；标题一致</t>
        </is>
      </c>
      <c r="L68" s="10" t="inlineStr">
        <is>
          <t>对照原文首页或出版社页面，核对作者、年份、标题、期刊或会议、卷期页码和 DOI。</t>
        </is>
      </c>
      <c r="M68" s="12" t="inlineStr"/>
      <c r="N68" s="12" t="inlineStr"/>
      <c r="O68" s="12" t="inlineStr"/>
      <c r="P68" s="12" t="inlineStr"/>
      <c r="Q68" s="12" t="inlineStr"/>
      <c r="R68" s="12" t="inlineStr"/>
    </row>
    <row r="69">
      <c r="A69" s="10" t="n">
        <v>68</v>
      </c>
      <c r="B69" s="13" t="inlineStr">
        <is>
          <t>建议核</t>
        </is>
      </c>
      <c r="C69" s="10" t="inlineStr">
        <is>
          <t>Martinelli et al., 2014</t>
        </is>
      </c>
      <c r="D69" s="10" t="inlineStr">
        <is>
          <t>S038</t>
        </is>
      </c>
      <c r="E69" s="10" t="inlineStr">
        <is>
          <t>核心</t>
        </is>
      </c>
      <c r="F69" s="10" t="inlineStr">
        <is>
          <t>Martinelli, R., Pecin, D., Poggi, M., 2014. Efficient elementary and restricted non-elementary route pricing. Eur. J. Oper. Res. 239(1), 102–111. https://doi.org/10.1016/j.ejor.2014.05.005.</t>
        </is>
      </c>
      <c r="G69" s="10" t="inlineStr">
        <is>
          <t>https://doi.org/10.1016/j.ejor.2014.05.005</t>
        </is>
      </c>
      <c r="H69" s="10" t="inlineStr"/>
      <c r="I69" s="10" t="inlineStr">
        <is>
          <t>02_参考文献/论文全文/S038_Martinelli_2014.pdf</t>
        </is>
      </c>
      <c r="J69" s="10" t="inlineStr">
        <is>
          <t>R038：JOURNAL_VOR；METADATA_VERIFIED; FULLTEXT_SCREENING_PENDING；R038-V1：ACCEPTED_MANUSCRIPT；MATCHED_TITLE_AUTHORS_DOI; SUPPLIED_ACCEPTED_MANUSCRIPT_NOT_VOR; FULLTEXT_VISUALLY_READ_INCLUDING_REFERENCES_AND_HIGHLIGHTS</t>
        </is>
      </c>
      <c r="K69" s="10" t="inlineStr">
        <is>
          <t>DOI/链接一致；标题一致</t>
        </is>
      </c>
      <c r="L69" s="10" t="inlineStr">
        <is>
          <t>对照原文首页或出版社页面，核对作者、年份、标题、期刊或会议、卷期页码和 DOI。</t>
        </is>
      </c>
      <c r="M69" s="12" t="inlineStr"/>
      <c r="N69" s="12" t="inlineStr"/>
      <c r="O69" s="12" t="inlineStr"/>
      <c r="P69" s="12" t="inlineStr"/>
      <c r="Q69" s="12" t="inlineStr"/>
      <c r="R69" s="12" t="inlineStr"/>
    </row>
    <row r="70">
      <c r="A70" s="10" t="n">
        <v>69</v>
      </c>
      <c r="B70" s="13" t="inlineStr">
        <is>
          <t>建议核</t>
        </is>
      </c>
      <c r="C70" s="10" t="inlineStr">
        <is>
          <t>Michelini et al., 2026</t>
        </is>
      </c>
      <c r="D70" s="10" t="inlineStr">
        <is>
          <t>S022</t>
        </is>
      </c>
      <c r="E70" s="10" t="inlineStr">
        <is>
          <t>核心</t>
        </is>
      </c>
      <c r="F70" s="10" t="inlineStr">
        <is>
          <t>Michelini, S., Küçükaydın, H., Arda, Y., 2026. A comparative study of branch‐and‐price algorithms for vehicle routing with time windows and waiting time costs. Int. Trans. Oper. Res. https://doi.org/10.1111/itor.70170.</t>
        </is>
      </c>
      <c r="G70" s="10" t="inlineStr">
        <is>
          <t>https://doi.org/10.1111/itor.70170</t>
        </is>
      </c>
      <c r="H70" s="10" t="inlineStr"/>
      <c r="I70" s="10" t="inlineStr">
        <is>
          <t>02_参考文献/论文全文/S022_Michelini_2026.pdf</t>
        </is>
      </c>
      <c r="J70" s="10" t="inlineStr">
        <is>
          <t>R022：JOURNAL_ONLINE；MATCHED; FULL_MAIN_PDF_READ</t>
        </is>
      </c>
      <c r="K70" s="10" t="inlineStr">
        <is>
          <t>DOI/链接一致；标题一致</t>
        </is>
      </c>
      <c r="L70" s="10" t="inlineStr">
        <is>
          <t>对照原文首页或出版社页面，核对作者、年份、标题、期刊或会议、卷期页码和 DOI。</t>
        </is>
      </c>
      <c r="M70" s="12" t="inlineStr"/>
      <c r="N70" s="12" t="inlineStr"/>
      <c r="O70" s="12" t="inlineStr"/>
      <c r="P70" s="12" t="inlineStr"/>
      <c r="Q70" s="12" t="inlineStr"/>
      <c r="R70" s="12" t="inlineStr"/>
    </row>
    <row r="71">
      <c r="A71" s="10" t="n">
        <v>70</v>
      </c>
      <c r="B71" s="9" t="inlineStr">
        <is>
          <t>必核</t>
        </is>
      </c>
      <c r="C71" s="10" t="inlineStr">
        <is>
          <t>Minoli et al., 2026</t>
        </is>
      </c>
      <c r="D71" s="10" t="inlineStr">
        <is>
          <t>S065</t>
        </is>
      </c>
      <c r="E71" s="10" t="inlineStr">
        <is>
          <t>支撑</t>
        </is>
      </c>
      <c r="F71" s="10" t="inlineStr">
        <is>
          <t>Minoli, A., Basso, S., Salani, M., 2026. Data-Driven Dynamic Programming for Constrained Shortest Paths. SSRN preprint [Preprint; not peer reviewed]. https://doi.org/10.2139/ssrn.7036722.</t>
        </is>
      </c>
      <c r="G71" s="10" t="inlineStr">
        <is>
          <t>https://doi.org/10.2139/ssrn.7036722</t>
        </is>
      </c>
      <c r="H71" s="10" t="inlineStr">
        <is>
          <t>预印本（Preprint）</t>
        </is>
      </c>
      <c r="I71" s="10" t="inlineStr">
        <is>
          <t>02_参考文献/论文全文/S065_Minoli_2026.pdf</t>
        </is>
      </c>
      <c r="J71" s="10" t="inlineStr">
        <is>
          <t>R065：PREPRINT；MATCH; COMPLETE_SUPPLIED_PDF</t>
        </is>
      </c>
      <c r="K71" s="10" t="inlineStr">
        <is>
          <t>DOI/链接一致；标题一致</t>
        </is>
      </c>
      <c r="L71" s="10" t="inlineStr">
        <is>
          <t>这是预印本：请检查是否已经正式发表；若已发表，按正式版本更新条目（作者、年份、标题、期刊、卷期页码、DOI），并告诉我，以便调整正文中的年份后缀和“预印本”说明。</t>
        </is>
      </c>
      <c r="M71" s="12" t="inlineStr"/>
      <c r="N71" s="12" t="inlineStr"/>
      <c r="O71" s="12" t="inlineStr"/>
      <c r="P71" s="12" t="inlineStr"/>
      <c r="Q71" s="12" t="inlineStr"/>
      <c r="R71" s="12" t="inlineStr"/>
    </row>
    <row r="72">
      <c r="A72" s="10" t="n">
        <v>71</v>
      </c>
      <c r="B72" s="13" t="inlineStr">
        <is>
          <t>建议核</t>
        </is>
      </c>
      <c r="C72" s="10" t="inlineStr">
        <is>
          <t>Morabit et al., 2021</t>
        </is>
      </c>
      <c r="D72" s="10" t="inlineStr">
        <is>
          <t>S050</t>
        </is>
      </c>
      <c r="E72" s="10" t="inlineStr">
        <is>
          <t>核心</t>
        </is>
      </c>
      <c r="F72" s="10" t="inlineStr">
        <is>
          <t>Morabit, M., Desaulniers, G., Lodi, A., 2021. Machine-Learning–Based Column Selection for Column Generation. Transp. Sci. 55(4), 815–831. https://doi.org/10.1287/trsc.2021.1045.</t>
        </is>
      </c>
      <c r="G72" s="10" t="inlineStr">
        <is>
          <t>https://doi.org/10.1287/trsc.2021.1045</t>
        </is>
      </c>
      <c r="H72" s="10" t="inlineStr"/>
      <c r="I72" s="10" t="inlineStr">
        <is>
          <t>02_参考文献/论文全文/S050_Morabit_2021.pdf</t>
        </is>
      </c>
      <c r="J72" s="10" t="inlineStr">
        <is>
          <t>R050：JOURNAL_VOR；MATCH; COMPLETE_SUPPLIED_PDF</t>
        </is>
      </c>
      <c r="K72" s="10" t="inlineStr">
        <is>
          <t>DOI/链接一致；标题一致</t>
        </is>
      </c>
      <c r="L72" s="10" t="inlineStr">
        <is>
          <t>对照原文首页或出版社页面，核对作者、年份、标题、期刊或会议、卷期页码和 DOI。</t>
        </is>
      </c>
      <c r="M72" s="12" t="inlineStr"/>
      <c r="N72" s="12" t="inlineStr"/>
      <c r="O72" s="12" t="inlineStr"/>
      <c r="P72" s="12" t="inlineStr"/>
      <c r="Q72" s="12" t="inlineStr"/>
      <c r="R72" s="12" t="inlineStr"/>
    </row>
    <row r="73">
      <c r="A73" s="10" t="n">
        <v>72</v>
      </c>
      <c r="B73" s="13" t="inlineStr">
        <is>
          <t>建议核</t>
        </is>
      </c>
      <c r="C73" s="10" t="inlineStr">
        <is>
          <t>Morabit et al., 2023</t>
        </is>
      </c>
      <c r="D73" s="10" t="inlineStr">
        <is>
          <t>S055</t>
        </is>
      </c>
      <c r="E73" s="10" t="inlineStr">
        <is>
          <t>核心</t>
        </is>
      </c>
      <c r="F73" s="10" t="inlineStr">
        <is>
          <t>Morabit, M., Desaulniers, G., Lodi, A., 2023. Machine-Learning–Based Arc Selection for Constrained Shortest Path Problems in Column Generation. INFORMS J. Optim. 5(2), 191–210. https://doi.org/10.1287/ijoo.2022.0082.</t>
        </is>
      </c>
      <c r="G73" s="10" t="inlineStr">
        <is>
          <t>https://doi.org/10.1287/ijoo.2022.0082</t>
        </is>
      </c>
      <c r="H73" s="10" t="inlineStr"/>
      <c r="I73" s="10" t="inlineStr">
        <is>
          <t>02_参考文献/论文全文/S055_Morabit_2023.pdf</t>
        </is>
      </c>
      <c r="J73" s="10" t="inlineStr">
        <is>
          <t>R055：JOURNAL_VOR；METADATA_VERIFIED;FULLTEXT_NOT_READ；R055-V1：JOURNAL_ADVANCE；MATCH; COMPLETE_SUPPLIED_PDF</t>
        </is>
      </c>
      <c r="K73" s="10" t="inlineStr">
        <is>
          <t>DOI/链接一致；标题一致</t>
        </is>
      </c>
      <c r="L73" s="10" t="inlineStr">
        <is>
          <t>对照原文首页或出版社页面，核对作者、年份、标题、期刊或会议、卷期页码和 DOI。</t>
        </is>
      </c>
      <c r="M73" s="12" t="inlineStr"/>
      <c r="N73" s="12" t="inlineStr"/>
      <c r="O73" s="12" t="inlineStr"/>
      <c r="P73" s="12" t="inlineStr"/>
      <c r="Q73" s="12" t="inlineStr"/>
      <c r="R73" s="12" t="inlineStr"/>
    </row>
    <row r="74">
      <c r="A74" s="10" t="n">
        <v>73</v>
      </c>
      <c r="B74" s="13" t="inlineStr">
        <is>
          <t>建议核</t>
        </is>
      </c>
      <c r="C74" s="10" t="inlineStr">
        <is>
          <t>Muter and Öncan, 2015</t>
        </is>
      </c>
      <c r="D74" s="10" t="inlineStr">
        <is>
          <t>S098</t>
        </is>
      </c>
      <c r="E74" s="10" t="inlineStr">
        <is>
          <t>核心</t>
        </is>
      </c>
      <c r="F74" s="10" t="inlineStr">
        <is>
          <t>Muter, İ., Öncan, T., 2015. An exact solution approach for the order batching problem. IIE Trans. 47(7), 728–738. https://doi.org/10.1080/0740817x.2014.991478.</t>
        </is>
      </c>
      <c r="G74" s="10" t="inlineStr">
        <is>
          <t>https://doi.org/10.1080/0740817x.2014.991478</t>
        </is>
      </c>
      <c r="H74" s="10" t="inlineStr"/>
      <c r="I74" s="10" t="inlineStr">
        <is>
          <t>02_参考文献/论文全文/S098_Muter_2015.pdf</t>
        </is>
      </c>
      <c r="J74" s="10" t="inlineStr">
        <is>
          <t>R098：JOURNAL_VOR；METADATA_VERIFIED;ALGORITHM_UNVERIFIED；R098-V1：ACCEPTED_MANUSCRIPT；TITLE_AUTHORS_VERIFIED; COMPLETE</t>
        </is>
      </c>
      <c r="K74" s="10" t="inlineStr">
        <is>
          <t>DOI/链接一致；标题一致</t>
        </is>
      </c>
      <c r="L74" s="10" t="inlineStr">
        <is>
          <t>对照原文首页或出版社页面，核对作者、年份、标题、期刊或会议、卷期页码和 DOI。</t>
        </is>
      </c>
      <c r="M74" s="12" t="inlineStr"/>
      <c r="N74" s="12" t="inlineStr"/>
      <c r="O74" s="12" t="inlineStr"/>
      <c r="P74" s="12" t="inlineStr"/>
      <c r="Q74" s="12" t="inlineStr"/>
      <c r="R74" s="12" t="inlineStr"/>
    </row>
    <row r="75">
      <c r="A75" s="10" t="n">
        <v>74</v>
      </c>
      <c r="B75" s="13" t="inlineStr">
        <is>
          <t>建议核</t>
        </is>
      </c>
      <c r="C75" s="10" t="inlineStr">
        <is>
          <t>Núñez Ares et al., 2016</t>
        </is>
      </c>
      <c r="D75" s="10" t="inlineStr">
        <is>
          <t>S100</t>
        </is>
      </c>
      <c r="E75" s="10" t="inlineStr">
        <is>
          <t>核心</t>
        </is>
      </c>
      <c r="F75" s="10" t="inlineStr">
        <is>
          <t>Núñez Ares, J., de Vries, H., Huisman, D., 2016. A column generation approach for locating roadside clinics in Africa based on effectiveness and equity. Eur. J. Oper. Res. 254(3), 1002–1016. https://doi.org/10.1016/j.ejor.2016.04.031.</t>
        </is>
      </c>
      <c r="G75" s="10" t="inlineStr">
        <is>
          <t>https://doi.org/10.1016/j.ejor.2016.04.031</t>
        </is>
      </c>
      <c r="H75" s="10" t="inlineStr"/>
      <c r="I75" s="10" t="inlineStr">
        <is>
          <t>02_参考文献/论文全文/S100_Ares_2016.pdf</t>
        </is>
      </c>
      <c r="J75" s="10" t="inlineStr">
        <is>
          <t>R100：JOURNAL_VOR；METADATA_VERIFIED;ALGORITHM_UNVERIFIED；R100-V1：TYPESET_PROOF；TITLE_AUTHORS_VERIFIED; COMPLETE</t>
        </is>
      </c>
      <c r="K75" s="10" t="inlineStr">
        <is>
          <t>DOI/链接一致；标题一致</t>
        </is>
      </c>
      <c r="L75" s="10" t="inlineStr">
        <is>
          <t>对照原文首页或出版社页面，核对作者、年份、标题、期刊或会议、卷期页码和 DOI。</t>
        </is>
      </c>
      <c r="M75" s="12" t="inlineStr"/>
      <c r="N75" s="12" t="inlineStr"/>
      <c r="O75" s="12" t="inlineStr"/>
      <c r="P75" s="12" t="inlineStr"/>
      <c r="Q75" s="12" t="inlineStr"/>
      <c r="R75" s="12" t="inlineStr"/>
    </row>
    <row r="76">
      <c r="A76" s="10" t="n">
        <v>75</v>
      </c>
      <c r="B76" s="13" t="inlineStr">
        <is>
          <t>建议核</t>
        </is>
      </c>
      <c r="C76" s="10" t="inlineStr">
        <is>
          <t>Ouasaid and Saddoune, 2025</t>
        </is>
      </c>
      <c r="D76" s="10" t="inlineStr">
        <is>
          <t>S073</t>
        </is>
      </c>
      <c r="E76" s="10" t="inlineStr">
        <is>
          <t>核心</t>
        </is>
      </c>
      <c r="F76" s="10" t="inlineStr">
        <is>
          <t>Ouasaid, S., Saddoune, M., 2025. Leveraging machine learning for column generation in the dial-a-ride problem with driver preferences. IAES International Journal of Artificial Intelligence (IJ-AI) 14(4), 2826–2838. https://doi.org/10.11591/ijai.v14.i4.pp2826-2838.</t>
        </is>
      </c>
      <c r="G76" s="10" t="inlineStr">
        <is>
          <t>https://doi.org/10.11591/ijai.v14.i4.pp2826-2838</t>
        </is>
      </c>
      <c r="H76" s="10" t="inlineStr"/>
      <c r="I76" s="10" t="inlineStr">
        <is>
          <t>02_参考文献/论文全文/S073_Ouasaid_2025.pdf</t>
        </is>
      </c>
      <c r="J76" s="10" t="inlineStr">
        <is>
          <t>R073：JOURNAL_VOR；MATCHED; FULL_MAIN_PDF_READ</t>
        </is>
      </c>
      <c r="K76" s="10" t="inlineStr">
        <is>
          <t>DOI/链接一致；标题一致</t>
        </is>
      </c>
      <c r="L76" s="10" t="inlineStr">
        <is>
          <t>对照原文首页或出版社页面，核对作者、年份、标题、期刊或会议、卷期页码和 DOI。</t>
        </is>
      </c>
      <c r="M76" s="12" t="inlineStr"/>
      <c r="N76" s="12" t="inlineStr"/>
      <c r="O76" s="12" t="inlineStr"/>
      <c r="P76" s="12" t="inlineStr"/>
      <c r="Q76" s="12" t="inlineStr"/>
      <c r="R76" s="12" t="inlineStr"/>
    </row>
    <row r="77">
      <c r="A77" s="10" t="n">
        <v>76</v>
      </c>
      <c r="B77" s="13" t="inlineStr">
        <is>
          <t>建议核</t>
        </is>
      </c>
      <c r="C77" s="10" t="inlineStr">
        <is>
          <t>Page et al., 2021</t>
        </is>
      </c>
      <c r="D77" s="10" t="inlineStr">
        <is>
          <t>S008</t>
        </is>
      </c>
      <c r="E77" s="10" t="inlineStr">
        <is>
          <t>背景</t>
        </is>
      </c>
      <c r="F77" s="10" t="inlineStr">
        <is>
          <t>Page, M.J., McKenzie, J.E., Bossuyt, P.M., Boutron, I., Hoffmann, T.C., Mulrow, C.D., Shamseer, L., Tetzlaff, J.M., Akl, E.A., Brennan, S.E., Chou, R., Glanville, J., Grimshaw, J.M., Hróbjartsson, A., Lalu, M.M., Li, T., Loder, E.W., Mayo-Wilson, E., McDonald, S., McGuinness, L.A., Stewart, L.A., Thomas, J., Tricco, A.C., Welch, V.A., Whiting, P., Moher, D., 2021. The PRISMA 2020 statement: an updated guideline for reporting systematic reviews. BMJ 372, n71. https://doi.org/10.1136/bmj.n71.</t>
        </is>
      </c>
      <c r="G77" s="10" t="inlineStr">
        <is>
          <t>https://doi.org/10.1136/bmj.n71</t>
        </is>
      </c>
      <c r="H77" s="10" t="inlineStr"/>
      <c r="I77" s="10" t="inlineStr">
        <is>
          <t>02_参考文献/论文全文/ 中以 S008_ 开头的文件</t>
        </is>
      </c>
      <c r="J77" s="10" t="inlineStr">
        <is>
          <t>R008：JOURNAL_ONLINE；TITLE_AUTHORS_VERIFIED; COMPLETE</t>
        </is>
      </c>
      <c r="K77" s="10" t="inlineStr">
        <is>
          <t>DOI/链接一致；标题一致</t>
        </is>
      </c>
      <c r="L77" s="10" t="inlineStr">
        <is>
          <t>对照原文首页或出版社页面，核对作者、年份、标题、期刊或会议、卷期页码和 DOI。</t>
        </is>
      </c>
      <c r="M77" s="12" t="inlineStr"/>
      <c r="N77" s="12" t="inlineStr"/>
      <c r="O77" s="12" t="inlineStr"/>
      <c r="P77" s="12" t="inlineStr"/>
      <c r="Q77" s="12" t="inlineStr"/>
      <c r="R77" s="12" t="inlineStr"/>
    </row>
    <row r="78">
      <c r="A78" s="10" t="n">
        <v>77</v>
      </c>
      <c r="B78" s="9" t="inlineStr">
        <is>
          <t>必核</t>
        </is>
      </c>
      <c r="C78" s="10" t="inlineStr">
        <is>
          <t>Pecin et al., 2017</t>
        </is>
      </c>
      <c r="D78" s="10" t="inlineStr"/>
      <c r="E78" s="10" t="inlineStr">
        <is>
          <t>其他引用</t>
        </is>
      </c>
      <c r="F78" s="10" t="inlineStr">
        <is>
          <t>Pecin, D., Pessoa, A., Poggi, M., Uchoa, E., Santos, H., 2017. Limited memory Rank-1 Cuts for Vehicle Routing Problems. Oper. Res. Lett. 45(3), 206–209. https://doi.org/10.1016/j.orl.2017.02.006.</t>
        </is>
      </c>
      <c r="G78" s="10" t="inlineStr">
        <is>
          <t>https://doi.org/10.1016/j.orl.2017.02.006</t>
        </is>
      </c>
      <c r="H78" s="10" t="inlineStr"/>
      <c r="I78" s="10" t="inlineStr">
        <is>
          <t>未获取原文：按 DOI 打开出版社页面或摘要核对</t>
        </is>
      </c>
      <c r="J78" s="10" t="inlineStr">
        <is>
          <t>数据包中没有该文献的记录</t>
        </is>
      </c>
      <c r="K78" s="10" t="inlineStr">
        <is>
          <t>无法自动比对，请按 DOI 核对</t>
        </is>
      </c>
      <c r="L78" s="10" t="inlineStr">
        <is>
          <t>数据包中没有这篇文献的记录：请打开 DOI 链接，逐项核对作者、年份、标题、期刊或书名、卷期页码和 DOI。</t>
        </is>
      </c>
      <c r="M78" s="12" t="inlineStr"/>
      <c r="N78" s="12" t="inlineStr"/>
      <c r="O78" s="12" t="inlineStr"/>
      <c r="P78" s="12" t="inlineStr"/>
      <c r="Q78" s="12" t="inlineStr"/>
      <c r="R78" s="12" t="inlineStr"/>
    </row>
    <row r="79">
      <c r="A79" s="10" t="n">
        <v>78</v>
      </c>
      <c r="B79" s="9" t="inlineStr">
        <is>
          <t>必核</t>
        </is>
      </c>
      <c r="C79" s="10" t="inlineStr">
        <is>
          <t>Pessoa et al., 2013</t>
        </is>
      </c>
      <c r="D79" s="10" t="inlineStr">
        <is>
          <t>S018</t>
        </is>
      </c>
      <c r="E79" s="10" t="inlineStr">
        <is>
          <t>补充报告（S018 的另一份报告）</t>
        </is>
      </c>
      <c r="F79" s="10" t="inlineStr">
        <is>
          <t>Pessoa, A., Sadykov, R., Uchoa, E., Vanderbeck, F., 2013. In-Out Separation and Column Generation Stabilization by Dual Price Smoothing. In: Bonifaci, V., Demetrescu, C., Marchetti-Spaccamela, A. (Eds.), Experimental Algorithms. SEA 2013, Lecture Notes in Computer Science. Springer, Berlin, Heidelberg, pp. 354–365. https://doi.org/10.1007/978-3-642-38527-8_31. Extended report read for this review: https://inria.hal.science/hal-00750412v3.</t>
        </is>
      </c>
      <c r="G79" s="10" t="inlineStr">
        <is>
          <t>https://doi.org/10.1007/978-3-642-38527-8_31</t>
        </is>
      </c>
      <c r="H79" s="10" t="inlineStr"/>
      <c r="I79" s="10" t="inlineStr">
        <is>
          <t>90_过程归档/大修_v1.5/fulltext/Pessoa/PDFs/In-Out_Separation_and_Column_Generation_Stabilization_by_Dual_Price_Smoothing.pdf</t>
        </is>
      </c>
      <c r="J79" s="10" t="inlineStr">
        <is>
          <t>R018-V2：OTHER；UNVERIFIED</t>
        </is>
      </c>
      <c r="K79" s="10" t="inlineStr">
        <is>
          <t>DOI/链接一致；标题一致</t>
        </is>
      </c>
      <c r="L79" s="10" t="inlineStr">
        <is>
          <t>补充报告：条目是 SEA 2013 会议论文（LNCS），实际阅读的是 HAL v3 扩展报告（19 页 PDF）。确认会议版的作者、书名、编者、页码 354–365 和 DOI；确认条目末尾“阅读的是扩展报告”的说明与 Table A.2 一致。</t>
        </is>
      </c>
      <c r="M79" s="12" t="inlineStr"/>
      <c r="N79" s="12" t="inlineStr"/>
      <c r="O79" s="12" t="inlineStr"/>
      <c r="P79" s="12" t="inlineStr"/>
      <c r="Q79" s="12" t="inlineStr"/>
      <c r="R79" s="12" t="inlineStr"/>
    </row>
    <row r="80">
      <c r="A80" s="10" t="n">
        <v>79</v>
      </c>
      <c r="B80" s="13" t="inlineStr">
        <is>
          <t>建议核</t>
        </is>
      </c>
      <c r="C80" s="10" t="inlineStr">
        <is>
          <t>Pessoa et al., 2018</t>
        </is>
      </c>
      <c r="D80" s="10" t="inlineStr">
        <is>
          <t>S018</t>
        </is>
      </c>
      <c r="E80" s="10" t="inlineStr">
        <is>
          <t>核心</t>
        </is>
      </c>
      <c r="F80" s="10" t="inlineStr">
        <is>
          <t>Pessoa, A., Sadykov, R., Uchoa, E., Vanderbeck, F., 2018. Automation and Combination of Linear-Programming Based Stabilization Techniques in Column Generation. INFORMS J. Comput. 30(2), 339–360. https://doi.org/10.1287/ijoc.2017.0784.</t>
        </is>
      </c>
      <c r="G80" s="10" t="inlineStr">
        <is>
          <t>https://doi.org/10.1287/ijoc.2017.0784</t>
        </is>
      </c>
      <c r="H80" s="10" t="inlineStr"/>
      <c r="I80" s="10" t="inlineStr">
        <is>
          <t>02_参考文献/论文全文/S018_Pessoa_2018.pdf</t>
        </is>
      </c>
      <c r="J80" s="10" t="inlineStr">
        <is>
          <t>R018：JOURNAL_VOR；MATCHED_TITLE_AUTHORS_DOI; FULLTEXT_READ</t>
        </is>
      </c>
      <c r="K80" s="10" t="inlineStr">
        <is>
          <t>DOI/链接一致；标题一致</t>
        </is>
      </c>
      <c r="L80" s="10" t="inlineStr">
        <is>
          <t>对照原文首页或出版社页面，核对作者、年份、标题、期刊或会议、卷期页码和 DOI。</t>
        </is>
      </c>
      <c r="M80" s="12" t="inlineStr"/>
      <c r="N80" s="12" t="inlineStr"/>
      <c r="O80" s="12" t="inlineStr"/>
      <c r="P80" s="12" t="inlineStr"/>
      <c r="Q80" s="12" t="inlineStr"/>
      <c r="R80" s="12" t="inlineStr"/>
    </row>
    <row r="81">
      <c r="A81" s="10" t="n">
        <v>80</v>
      </c>
      <c r="B81" s="13" t="inlineStr">
        <is>
          <t>建议核</t>
        </is>
      </c>
      <c r="C81" s="10" t="inlineStr">
        <is>
          <t>Pessoa et al., 2020</t>
        </is>
      </c>
      <c r="D81" s="10" t="inlineStr">
        <is>
          <t>S039</t>
        </is>
      </c>
      <c r="E81" s="10" t="inlineStr">
        <is>
          <t>核心</t>
        </is>
      </c>
      <c r="F81" s="10" t="inlineStr">
        <is>
          <t>Pessoa, A., Sadykov, R., Uchoa, E., Vanderbeck, F., 2020. A generic exact solver for vehicle routing and related problems. Math. Program. 183(1-2), 483–523. https://doi.org/10.1007/s10107-020-01523-z.</t>
        </is>
      </c>
      <c r="G81" s="10" t="inlineStr">
        <is>
          <t>https://doi.org/10.1007/s10107-020-01523-z</t>
        </is>
      </c>
      <c r="H81" s="10" t="inlineStr"/>
      <c r="I81" s="10" t="inlineStr">
        <is>
          <t>02_参考文献/论文全文/S039_Pessoa_2020.pdf</t>
        </is>
      </c>
      <c r="J81" s="10" t="inlineStr">
        <is>
          <t>R039：JOURNAL_VOR；METADATA_VERIFIED; FULLTEXT_SCREENING_PENDING；R039-V1：JOURNAL_EARLY_ONLINE；MATCHED_TITLE_AUTHORS_DOI;EARLY_ONLINE_PAGINATION; FULLTEXT_READ_INCLUDING_REFERENCES</t>
        </is>
      </c>
      <c r="K81" s="10" t="inlineStr">
        <is>
          <t>DOI/链接一致；标题一致</t>
        </is>
      </c>
      <c r="L81" s="10" t="inlineStr">
        <is>
          <t>对照原文首页或出版社页面，核对作者、年份、标题、期刊或会议、卷期页码和 DOI。</t>
        </is>
      </c>
      <c r="M81" s="12" t="inlineStr"/>
      <c r="N81" s="12" t="inlineStr"/>
      <c r="O81" s="12" t="inlineStr"/>
      <c r="P81" s="12" t="inlineStr"/>
      <c r="Q81" s="12" t="inlineStr"/>
      <c r="R81" s="12" t="inlineStr"/>
    </row>
    <row r="82">
      <c r="A82" s="10" t="n">
        <v>81</v>
      </c>
      <c r="B82" s="13" t="inlineStr">
        <is>
          <t>建议核</t>
        </is>
      </c>
      <c r="C82" s="10" t="inlineStr">
        <is>
          <t>Petris et al., 2025</t>
        </is>
      </c>
      <c r="D82" s="10" t="inlineStr">
        <is>
          <t>S002</t>
        </is>
      </c>
      <c r="E82" s="10" t="inlineStr">
        <is>
          <t>背景</t>
        </is>
      </c>
      <c r="F82" s="10" t="inlineStr">
        <is>
          <t>Petris, M., Archetti, C., Cattaruzza, D., Ogier, M., Semet, F., 2025. A tutorial on Branch-Price-and-Cut algorithms. 4OR 23(1), 1–52. https://doi.org/10.1007/s10288-025-00585-z.</t>
        </is>
      </c>
      <c r="G82" s="10" t="inlineStr">
        <is>
          <t>https://doi.org/10.1007/s10288-025-00585-z</t>
        </is>
      </c>
      <c r="H82" s="10" t="inlineStr"/>
      <c r="I82" s="10" t="inlineStr">
        <is>
          <t>02_参考文献/论文全文/ 中以 S002_ 开头的文件</t>
        </is>
      </c>
      <c r="J82" s="10" t="inlineStr">
        <is>
          <t>R002：JOURNAL_VOR；TITLE_AUTHORS_VERIFIED; COMPLETE</t>
        </is>
      </c>
      <c r="K82" s="10" t="inlineStr">
        <is>
          <t>DOI/链接一致；标题一致</t>
        </is>
      </c>
      <c r="L82" s="10" t="inlineStr">
        <is>
          <t>对照原文首页或出版社页面，核对作者、年份、标题、期刊或会议、卷期页码和 DOI。</t>
        </is>
      </c>
      <c r="M82" s="12" t="inlineStr"/>
      <c r="N82" s="12" t="inlineStr"/>
      <c r="O82" s="12" t="inlineStr"/>
      <c r="P82" s="12" t="inlineStr"/>
      <c r="Q82" s="12" t="inlineStr"/>
      <c r="R82" s="12" t="inlineStr"/>
    </row>
    <row r="83">
      <c r="A83" s="10" t="n">
        <v>82</v>
      </c>
      <c r="B83" s="13" t="inlineStr">
        <is>
          <t>建议核</t>
        </is>
      </c>
      <c r="C83" s="10" t="inlineStr">
        <is>
          <t>Potthoff et al., 2010</t>
        </is>
      </c>
      <c r="D83" s="10" t="inlineStr">
        <is>
          <t>S043</t>
        </is>
      </c>
      <c r="E83" s="10" t="inlineStr">
        <is>
          <t>核心</t>
        </is>
      </c>
      <c r="F83" s="10" t="inlineStr">
        <is>
          <t>Potthoff, D., Huisman, D., Desaulniers, G., 2010. Column Generation with Dynamic Duty Selection for Railway Crew Rescheduling. Transp. Sci. 44(4), 493–505. https://doi.org/10.1287/trsc.1100.0322.</t>
        </is>
      </c>
      <c r="G83" s="10" t="inlineStr">
        <is>
          <t>https://doi.org/10.1287/trsc.1100.0322</t>
        </is>
      </c>
      <c r="H83" s="10" t="inlineStr"/>
      <c r="I83" s="10" t="inlineStr">
        <is>
          <t>02_参考文献/论文全文/S043_Potthoff_2010.pdf</t>
        </is>
      </c>
      <c r="J83" s="10" t="inlineStr">
        <is>
          <t>R043：JOURNAL_VOR；MATCHED; FULL_MAIN_PDF_READ</t>
        </is>
      </c>
      <c r="K83" s="10" t="inlineStr">
        <is>
          <t>DOI/链接一致；标题一致</t>
        </is>
      </c>
      <c r="L83" s="10" t="inlineStr">
        <is>
          <t>对照原文首页或出版社页面，核对作者、年份、标题、期刊或会议、卷期页码和 DOI。</t>
        </is>
      </c>
      <c r="M83" s="12" t="inlineStr"/>
      <c r="N83" s="12" t="inlineStr"/>
      <c r="O83" s="12" t="inlineStr"/>
      <c r="P83" s="12" t="inlineStr"/>
      <c r="Q83" s="12" t="inlineStr"/>
      <c r="R83" s="12" t="inlineStr"/>
    </row>
    <row r="84">
      <c r="A84" s="10" t="n">
        <v>83</v>
      </c>
      <c r="B84" s="13" t="inlineStr">
        <is>
          <t>建议核</t>
        </is>
      </c>
      <c r="C84" s="10" t="inlineStr">
        <is>
          <t>Quesnel et al., 2022</t>
        </is>
      </c>
      <c r="D84" s="10" t="inlineStr">
        <is>
          <t>S051</t>
        </is>
      </c>
      <c r="E84" s="10" t="inlineStr">
        <is>
          <t>核心</t>
        </is>
      </c>
      <c r="F84" s="10" t="inlineStr">
        <is>
          <t>Quesnel, F., Wu, A., Desaulniers, G., Soumis, F., 2022. Deep-learning-based partial pricing in a branch-and-price algorithm for personalized crew rostering. Comput. Oper. Res. 138, 105554. https://doi.org/10.1016/j.cor.2021.105554.</t>
        </is>
      </c>
      <c r="G84" s="10" t="inlineStr">
        <is>
          <t>https://doi.org/10.1016/j.cor.2021.105554</t>
        </is>
      </c>
      <c r="H84" s="10" t="inlineStr"/>
      <c r="I84" s="10" t="inlineStr">
        <is>
          <t>02_参考文献/论文全文/S051_Quesnel_2022.pdf</t>
        </is>
      </c>
      <c r="J84" s="10" t="inlineStr">
        <is>
          <t>R051：JOURNAL_VOR；MATCH; COMPLETE_SUPPLIED_PDF</t>
        </is>
      </c>
      <c r="K84" s="10" t="inlineStr">
        <is>
          <t>DOI/链接一致；标题一致</t>
        </is>
      </c>
      <c r="L84" s="10" t="inlineStr">
        <is>
          <t>对照原文首页或出版社页面，核对作者、年份、标题、期刊或会议、卷期页码和 DOI。</t>
        </is>
      </c>
      <c r="M84" s="12" t="inlineStr"/>
      <c r="N84" s="12" t="inlineStr"/>
      <c r="O84" s="12" t="inlineStr"/>
      <c r="P84" s="12" t="inlineStr"/>
      <c r="Q84" s="12" t="inlineStr"/>
      <c r="R84" s="12" t="inlineStr"/>
    </row>
    <row r="85">
      <c r="A85" s="10" t="n">
        <v>84</v>
      </c>
      <c r="B85" s="13" t="inlineStr">
        <is>
          <t>建议核</t>
        </is>
      </c>
      <c r="C85" s="10" t="inlineStr">
        <is>
          <t>Righini and Salani, 2006</t>
        </is>
      </c>
      <c r="D85" s="10" t="inlineStr">
        <is>
          <t>S036</t>
        </is>
      </c>
      <c r="E85" s="10" t="inlineStr">
        <is>
          <t>支撑</t>
        </is>
      </c>
      <c r="F85" s="10" t="inlineStr">
        <is>
          <t>Righini, G., Salani, M., 2006. Symmetry helps: Bounded bi-directional dynamic programming for the elementary shortest path problem with resource constraints. Discret. Optim. 3(3), 255–273. https://doi.org/10.1016/j.disopt.2006.05.007.</t>
        </is>
      </c>
      <c r="G85" s="10" t="inlineStr">
        <is>
          <t>https://doi.org/10.1016/j.disopt.2006.05.007</t>
        </is>
      </c>
      <c r="H85" s="10" t="inlineStr"/>
      <c r="I85" s="10" t="inlineStr">
        <is>
          <t>02_参考文献/论文全文/S036_Righini_2006.pdf</t>
        </is>
      </c>
      <c r="J85" s="10" t="inlineStr">
        <is>
          <t>R036：JOURNAL_VOR；MATCHED_TITLE_AUTHORS_DOI; FULLTEXT_READ_INCLUDING_REFERENCES</t>
        </is>
      </c>
      <c r="K85" s="10" t="inlineStr">
        <is>
          <t>DOI/链接一致；标题一致</t>
        </is>
      </c>
      <c r="L85" s="10" t="inlineStr">
        <is>
          <t>对照原文首页或出版社页面，核对作者、年份、标题、期刊或会议、卷期页码和 DOI。</t>
        </is>
      </c>
      <c r="M85" s="12" t="inlineStr"/>
      <c r="N85" s="12" t="inlineStr"/>
      <c r="O85" s="12" t="inlineStr"/>
      <c r="P85" s="12" t="inlineStr"/>
      <c r="Q85" s="12" t="inlineStr"/>
      <c r="R85" s="12" t="inlineStr"/>
    </row>
    <row r="86">
      <c r="A86" s="10" t="n">
        <v>85</v>
      </c>
      <c r="B86" s="13" t="inlineStr">
        <is>
          <t>建议核</t>
        </is>
      </c>
      <c r="C86" s="10" t="inlineStr">
        <is>
          <t>Righini and Salani, 2008</t>
        </is>
      </c>
      <c r="D86" s="10" t="inlineStr">
        <is>
          <t>S016</t>
        </is>
      </c>
      <c r="E86" s="10" t="inlineStr">
        <is>
          <t>支撑</t>
        </is>
      </c>
      <c r="F86" s="10" t="inlineStr">
        <is>
          <t>Righini, G., Salani, M., 2008. New dynamic programming algorithms for the resource constrained elementary shortest path problem. Networks 51(3), 155–170. https://doi.org/10.1002/net.20212.</t>
        </is>
      </c>
      <c r="G86" s="10" t="inlineStr">
        <is>
          <t>https://doi.org/10.1002/net.20212</t>
        </is>
      </c>
      <c r="H86" s="10" t="inlineStr"/>
      <c r="I86" s="10" t="inlineStr">
        <is>
          <t>02_参考文献/论文全文/S016_Righini_2008.pdf</t>
        </is>
      </c>
      <c r="J86" s="10" t="inlineStr">
        <is>
          <t>R016：JOURNAL_VOR；MATCHED_TITLE_AUTHORS_DOI; FULLTEXT_READ</t>
        </is>
      </c>
      <c r="K86" s="10" t="inlineStr">
        <is>
          <t>DOI/链接一致；标题一致</t>
        </is>
      </c>
      <c r="L86" s="10" t="inlineStr">
        <is>
          <t>对照原文首页或出版社页面，核对作者、年份、标题、期刊或会议、卷期页码和 DOI。</t>
        </is>
      </c>
      <c r="M86" s="12" t="inlineStr"/>
      <c r="N86" s="12" t="inlineStr"/>
      <c r="O86" s="12" t="inlineStr"/>
      <c r="P86" s="12" t="inlineStr"/>
      <c r="Q86" s="12" t="inlineStr"/>
      <c r="R86" s="12" t="inlineStr"/>
    </row>
    <row r="87">
      <c r="A87" s="10" t="n">
        <v>86</v>
      </c>
      <c r="B87" s="13" t="inlineStr">
        <is>
          <t>建议核</t>
        </is>
      </c>
      <c r="C87" s="10" t="inlineStr">
        <is>
          <t>Ropke and Cordeau, 2009</t>
        </is>
      </c>
      <c r="D87" s="10" t="inlineStr">
        <is>
          <t>S033</t>
        </is>
      </c>
      <c r="E87" s="10" t="inlineStr">
        <is>
          <t>核心</t>
        </is>
      </c>
      <c r="F87" s="10" t="inlineStr">
        <is>
          <t>Ropke, S., Cordeau, J.-F., 2009. Branch and Cut and Price for the Pickup and Delivery Problem with Time Windows. Transp. Sci. 43(3), 267–286. https://doi.org/10.1287/trsc.1090.0272.</t>
        </is>
      </c>
      <c r="G87" s="10" t="inlineStr">
        <is>
          <t>https://doi.org/10.1287/trsc.1090.0272</t>
        </is>
      </c>
      <c r="H87" s="10" t="inlineStr"/>
      <c r="I87" s="10" t="inlineStr">
        <is>
          <t>02_参考文献/论文全文/S033_Ropke_2009.pdf</t>
        </is>
      </c>
      <c r="J87" s="10" t="inlineStr">
        <is>
          <t>R033：JOURNAL_VOR；MATCHED; FULL_MAIN_PDF_READ</t>
        </is>
      </c>
      <c r="K87" s="10" t="inlineStr">
        <is>
          <t>DOI/链接一致；标题一致</t>
        </is>
      </c>
      <c r="L87" s="10" t="inlineStr">
        <is>
          <t>对照原文首页或出版社页面，核对作者、年份、标题、期刊或会议、卷期页码和 DOI。</t>
        </is>
      </c>
      <c r="M87" s="12" t="inlineStr"/>
      <c r="N87" s="12" t="inlineStr"/>
      <c r="O87" s="12" t="inlineStr"/>
      <c r="P87" s="12" t="inlineStr"/>
      <c r="Q87" s="12" t="inlineStr"/>
      <c r="R87" s="12" t="inlineStr"/>
    </row>
    <row r="88">
      <c r="A88" s="10" t="n">
        <v>87</v>
      </c>
      <c r="B88" s="13" t="inlineStr">
        <is>
          <t>建议核</t>
        </is>
      </c>
      <c r="C88" s="10" t="inlineStr">
        <is>
          <t>Rousseau et al., 2007</t>
        </is>
      </c>
      <c r="D88" s="10" t="inlineStr">
        <is>
          <t>S025</t>
        </is>
      </c>
      <c r="E88" s="10" t="inlineStr">
        <is>
          <t>核心</t>
        </is>
      </c>
      <c r="F88" s="10" t="inlineStr">
        <is>
          <t>Rousseau, L.-M., Gendreau, M., Feillet, D., 2007. Interior point stabilization for column generation. Oper. Res. Lett. 35(5), 660–668. https://doi.org/10.1016/j.orl.2006.11.004.</t>
        </is>
      </c>
      <c r="G88" s="10" t="inlineStr">
        <is>
          <t>https://doi.org/10.1016/j.orl.2006.11.004</t>
        </is>
      </c>
      <c r="H88" s="10" t="inlineStr"/>
      <c r="I88" s="10" t="inlineStr">
        <is>
          <t>02_参考文献/论文全文/S025_Rousseau_2007.pdf</t>
        </is>
      </c>
      <c r="J88" s="10" t="inlineStr">
        <is>
          <t>R025：JOURNAL_VOR；MATCHED_TITLE_AUTHORS_DOI; FULLTEXT_READ_INCLUDING_REFERENCES</t>
        </is>
      </c>
      <c r="K88" s="10" t="inlineStr">
        <is>
          <t>DOI/链接一致；标题一致</t>
        </is>
      </c>
      <c r="L88" s="10" t="inlineStr">
        <is>
          <t>对照原文首页或出版社页面，核对作者、年份、标题、期刊或会议、卷期页码和 DOI。</t>
        </is>
      </c>
      <c r="M88" s="12" t="inlineStr"/>
      <c r="N88" s="12" t="inlineStr"/>
      <c r="O88" s="12" t="inlineStr"/>
      <c r="P88" s="12" t="inlineStr"/>
      <c r="Q88" s="12" t="inlineStr"/>
      <c r="R88" s="12" t="inlineStr"/>
    </row>
    <row r="89">
      <c r="A89" s="10" t="n">
        <v>88</v>
      </c>
      <c r="B89" s="13" t="inlineStr">
        <is>
          <t>建议核</t>
        </is>
      </c>
      <c r="C89" s="10" t="inlineStr">
        <is>
          <t>Sadykov et al., 2021</t>
        </is>
      </c>
      <c r="D89" s="10" t="inlineStr">
        <is>
          <t>S019</t>
        </is>
      </c>
      <c r="E89" s="10" t="inlineStr">
        <is>
          <t>核心</t>
        </is>
      </c>
      <c r="F89" s="10" t="inlineStr">
        <is>
          <t>Sadykov, R., Uchoa, E., Pessoa, A., 2021. A Bucket Graph–Based Labeling Algorithm with Application to Vehicle Routing. Transp. Sci. 55(1), 4–28. https://doi.org/10.1287/trsc.2020.0985.</t>
        </is>
      </c>
      <c r="G89" s="10" t="inlineStr">
        <is>
          <t>https://doi.org/10.1287/trsc.2020.0985</t>
        </is>
      </c>
      <c r="H89" s="10" t="inlineStr"/>
      <c r="I89" s="10" t="inlineStr">
        <is>
          <t>02_参考文献/论文全文/S019_Sadykov_2021.pdf</t>
        </is>
      </c>
      <c r="J89" s="10" t="inlineStr">
        <is>
          <t>R019：JOURNAL_VOR；METADATA_VERIFIED; FULLTEXT_SCREENING_PENDING；R019-V1：JOURNAL_ADVANCE；MATCHED_DOI_TITLE_AUTHORS_EARLY_ONLINE_VERSION; MAIN_FULLTEXT_READ_SUPPLEMENT_NOT_ACCESSED</t>
        </is>
      </c>
      <c r="K89" s="10" t="inlineStr">
        <is>
          <t>DOI/链接一致；标题一致</t>
        </is>
      </c>
      <c r="L89" s="10" t="inlineStr">
        <is>
          <t>对照原文首页或出版社页面，核对作者、年份、标题、期刊或会议、卷期页码和 DOI。</t>
        </is>
      </c>
      <c r="M89" s="12" t="inlineStr"/>
      <c r="N89" s="12" t="inlineStr"/>
      <c r="O89" s="12" t="inlineStr"/>
      <c r="P89" s="12" t="inlineStr"/>
      <c r="Q89" s="12" t="inlineStr"/>
      <c r="R89" s="12" t="inlineStr"/>
    </row>
    <row r="90">
      <c r="A90" s="10" t="n">
        <v>89</v>
      </c>
      <c r="B90" s="13" t="inlineStr">
        <is>
          <t>建议核</t>
        </is>
      </c>
      <c r="C90" s="10" t="inlineStr">
        <is>
          <t>Sadykov et al., 2019</t>
        </is>
      </c>
      <c r="D90" s="10" t="inlineStr">
        <is>
          <t>S105</t>
        </is>
      </c>
      <c r="E90" s="10" t="inlineStr">
        <is>
          <t>核心</t>
        </is>
      </c>
      <c r="F90" s="10" t="inlineStr">
        <is>
          <t>Sadykov, R., Vanderbeck, F., Pessoa, A., Tahiri, I., Uchoa, E., 2019. Primal Heuristics for Branch and Price: The Assets of Diving Methods. INFORMS J. Comput. 31(2), 251–267. https://doi.org/10.1287/ijoc.2018.0822. Author manuscript read for this review: https://inria.hal.science/hal-01237204v3.</t>
        </is>
      </c>
      <c r="G90" s="10" t="inlineStr">
        <is>
          <t>https://doi.org/10.1287/ijoc.2018.0822</t>
        </is>
      </c>
      <c r="H90" s="10" t="inlineStr"/>
      <c r="I90" s="10" t="inlineStr">
        <is>
          <t>90_过程归档/大修_v1.5/fulltext/Sadykov/PDFs/Primal_Heuristics_for_Branch_and_Price.pdf</t>
        </is>
      </c>
      <c r="J90" s="10" t="inlineStr">
        <is>
          <t>R105：JOURNAL_VOR；UNVERIFIED；R105-V1：AUTHOR_MANUSCRIPT；UNVERIFIED</t>
        </is>
      </c>
      <c r="K90" s="10" t="inlineStr">
        <is>
          <t>DOI/链接一致；标题一致</t>
        </is>
      </c>
      <c r="L90" s="10" t="inlineStr">
        <is>
          <t>对照原文首页或出版社页面，核对作者、年份、标题、期刊或会议、卷期页码和 DOI。</t>
        </is>
      </c>
      <c r="M90" s="12" t="inlineStr"/>
      <c r="N90" s="12" t="inlineStr"/>
      <c r="O90" s="12" t="inlineStr"/>
      <c r="P90" s="12" t="inlineStr"/>
      <c r="Q90" s="12" t="inlineStr"/>
      <c r="R90" s="12" t="inlineStr"/>
    </row>
    <row r="91">
      <c r="A91" s="10" t="n">
        <v>90</v>
      </c>
      <c r="B91" s="13" t="inlineStr">
        <is>
          <t>建议核</t>
        </is>
      </c>
      <c r="C91" s="10" t="inlineStr">
        <is>
          <t>Salani et al., 2024</t>
        </is>
      </c>
      <c r="D91" s="10" t="inlineStr">
        <is>
          <t>S030</t>
        </is>
      </c>
      <c r="E91" s="10" t="inlineStr">
        <is>
          <t>支撑</t>
        </is>
      </c>
      <c r="F91" s="10" t="inlineStr">
        <is>
          <t>Salani, M., Basso, S., Giuffrida, V., 2024. PathWyse: a flexible, open-source library for the resource constrained shortest path problem. Optim. Methods Softw. 39(2), 298–320. https://doi.org/10.1080/10556788.2023.2296978.</t>
        </is>
      </c>
      <c r="G91" s="10" t="inlineStr">
        <is>
          <t>https://doi.org/10.1080/10556788.2023.2296978</t>
        </is>
      </c>
      <c r="H91" s="10" t="inlineStr"/>
      <c r="I91" s="10" t="inlineStr">
        <is>
          <t>02_参考文献/论文全文/S030_Salani_2024.pdf</t>
        </is>
      </c>
      <c r="J91" s="10" t="inlineStr">
        <is>
          <t>R030：JOURNAL_VOR；MATCHED_TITLE_AUTHORS_DOI; FULLTEXT_READ_INCLUDING_REFERENCES</t>
        </is>
      </c>
      <c r="K91" s="10" t="inlineStr">
        <is>
          <t>DOI/链接一致；标题一致</t>
        </is>
      </c>
      <c r="L91" s="10" t="inlineStr">
        <is>
          <t>对照原文首页或出版社页面，核对作者、年份、标题、期刊或会议、卷期页码和 DOI。</t>
        </is>
      </c>
      <c r="M91" s="12" t="inlineStr"/>
      <c r="N91" s="12" t="inlineStr"/>
      <c r="O91" s="12" t="inlineStr"/>
      <c r="P91" s="12" t="inlineStr"/>
      <c r="Q91" s="12" t="inlineStr"/>
      <c r="R91" s="12" t="inlineStr"/>
    </row>
    <row r="92">
      <c r="A92" s="10" t="n">
        <v>91</v>
      </c>
      <c r="B92" s="13" t="inlineStr">
        <is>
          <t>建议核</t>
        </is>
      </c>
      <c r="C92" s="10" t="inlineStr">
        <is>
          <t>Sarkar et al., 2025</t>
        </is>
      </c>
      <c r="D92" s="10" t="inlineStr">
        <is>
          <t>S070</t>
        </is>
      </c>
      <c r="E92" s="10" t="inlineStr">
        <is>
          <t>核心</t>
        </is>
      </c>
      <c r="F92" s="10" t="inlineStr">
        <is>
          <t>Sarkar, P., Khanapuri, V.B., Tiwari, M.K., 2025. Accelerating the stabilized column generation using machine learning. Comput. Ind. Eng. 200, 110837. https://doi.org/10.1016/j.cie.2024.110837.</t>
        </is>
      </c>
      <c r="G92" s="10" t="inlineStr">
        <is>
          <t>https://doi.org/10.1016/j.cie.2024.110837</t>
        </is>
      </c>
      <c r="H92" s="10" t="inlineStr"/>
      <c r="I92" s="10" t="inlineStr">
        <is>
          <t>02_参考文献/论文全文/S070_Sarkar_2025.pdf</t>
        </is>
      </c>
      <c r="J92" s="10" t="inlineStr">
        <is>
          <t>R070：JOURNAL_VOR；MATCH; COMPLETE_SUPPLIED_PDF</t>
        </is>
      </c>
      <c r="K92" s="10" t="inlineStr">
        <is>
          <t>DOI/链接一致；标题一致</t>
        </is>
      </c>
      <c r="L92" s="10" t="inlineStr">
        <is>
          <t>对照原文首页或出版社页面，核对作者、年份、标题、期刊或会议、卷期页码和 DOI。</t>
        </is>
      </c>
      <c r="M92" s="12" t="inlineStr"/>
      <c r="N92" s="12" t="inlineStr"/>
      <c r="O92" s="12" t="inlineStr"/>
      <c r="P92" s="12" t="inlineStr"/>
      <c r="Q92" s="12" t="inlineStr"/>
      <c r="R92" s="12" t="inlineStr"/>
    </row>
    <row r="93">
      <c r="A93" s="10" t="n">
        <v>92</v>
      </c>
      <c r="B93" s="13" t="inlineStr">
        <is>
          <t>建议核</t>
        </is>
      </c>
      <c r="C93" s="10" t="inlineStr">
        <is>
          <t>Scavuzzo et al., 2026</t>
        </is>
      </c>
      <c r="D93" s="10" t="inlineStr">
        <is>
          <t>S011</t>
        </is>
      </c>
      <c r="E93" s="10" t="inlineStr">
        <is>
          <t>语境综述（已排除编码）</t>
        </is>
      </c>
      <c r="F93" s="10" t="inlineStr">
        <is>
          <t>Scavuzzo, L., Aardal, K., Lodi, A., Yorke-Smith, N., 2026. Machine learning augmented branch and bound for mixed integer linear programming. Math. Program. 217(1-2), 123–166. https://doi.org/10.1007/s10107-024-02130-y.</t>
        </is>
      </c>
      <c r="G93" s="10" t="inlineStr">
        <is>
          <t>https://doi.org/10.1007/s10107-024-02130-y</t>
        </is>
      </c>
      <c r="H93" s="10" t="inlineStr"/>
      <c r="I93" s="10" t="inlineStr">
        <is>
          <t>02_参考文献/论文全文/ 中以 S011_ 开头的文件</t>
        </is>
      </c>
      <c r="J93" s="10" t="inlineStr">
        <is>
          <t>R011：JOURNAL_VOR；TITLE_AUTHORS_VERIFIED; ELIGIBILITY_SCREENED</t>
        </is>
      </c>
      <c r="K93" s="10" t="inlineStr">
        <is>
          <t>DOI/链接一致；标题一致</t>
        </is>
      </c>
      <c r="L93" s="10" t="inlineStr">
        <is>
          <t>对照原文首页或出版社页面，核对作者、年份、标题、期刊或会议、卷期页码和 DOI。</t>
        </is>
      </c>
      <c r="M93" s="12" t="inlineStr"/>
      <c r="N93" s="12" t="inlineStr"/>
      <c r="O93" s="12" t="inlineStr"/>
      <c r="P93" s="12" t="inlineStr"/>
      <c r="Q93" s="12" t="inlineStr"/>
      <c r="R93" s="12" t="inlineStr"/>
    </row>
    <row r="94">
      <c r="A94" s="10" t="n">
        <v>93</v>
      </c>
      <c r="B94" s="13" t="inlineStr">
        <is>
          <t>建议核</t>
        </is>
      </c>
      <c r="C94" s="10" t="inlineStr">
        <is>
          <t>Schryen and Sperling, 2023</t>
        </is>
      </c>
      <c r="D94" s="10" t="inlineStr">
        <is>
          <t>S007</t>
        </is>
      </c>
      <c r="E94" s="10" t="inlineStr">
        <is>
          <t>背景</t>
        </is>
      </c>
      <c r="F94" s="10" t="inlineStr">
        <is>
          <t>Schryen, G., Sperling, M., 2023. Literature reviews in operations research: A new taxonomy and a meta review. Comput. Oper. Res. 157, 106269. https://doi.org/10.1016/j.cor.2023.106269.</t>
        </is>
      </c>
      <c r="G94" s="10" t="inlineStr">
        <is>
          <t>https://doi.org/10.1016/j.cor.2023.106269</t>
        </is>
      </c>
      <c r="H94" s="10" t="inlineStr"/>
      <c r="I94" s="10" t="inlineStr">
        <is>
          <t>02_参考文献/论文全文/ 中以 S007_ 开头的文件</t>
        </is>
      </c>
      <c r="J94" s="10" t="inlineStr">
        <is>
          <t>R007：JOURNAL_VOR；TITLE_AUTHORS_VERIFIED; COMPLETE</t>
        </is>
      </c>
      <c r="K94" s="10" t="inlineStr">
        <is>
          <t>DOI/链接一致；标题一致</t>
        </is>
      </c>
      <c r="L94" s="10" t="inlineStr">
        <is>
          <t>对照原文首页或出版社页面，核对作者、年份、标题、期刊或会议、卷期页码和 DOI。</t>
        </is>
      </c>
      <c r="M94" s="12" t="inlineStr"/>
      <c r="N94" s="12" t="inlineStr"/>
      <c r="O94" s="12" t="inlineStr"/>
      <c r="P94" s="12" t="inlineStr"/>
      <c r="Q94" s="12" t="inlineStr"/>
      <c r="R94" s="12" t="inlineStr"/>
    </row>
    <row r="95">
      <c r="A95" s="10" t="n">
        <v>94</v>
      </c>
      <c r="B95" s="9" t="inlineStr">
        <is>
          <t>必核</t>
        </is>
      </c>
      <c r="C95" s="10" t="inlineStr">
        <is>
          <t>Shan et al., 2026</t>
        </is>
      </c>
      <c r="D95" s="10" t="inlineStr">
        <is>
          <t>S091</t>
        </is>
      </c>
      <c r="E95" s="10" t="inlineStr">
        <is>
          <t>核心</t>
        </is>
      </c>
      <c r="F95" s="10" t="inlineStr">
        <is>
          <t>Shan, W., Yin, J., Zhang, J., 2026. Multi-Depot Perishable-Product Routing with Time Windows: Exact Branch-and-Cut-and-Price with Learning-Guided Pricing Prioritization. SSRN preprint [Preprint; not peer reviewed]. https://doi.org/10.2139/ssrn.7472543.</t>
        </is>
      </c>
      <c r="G95" s="10" t="inlineStr">
        <is>
          <t>https://doi.org/10.2139/ssrn.7472543</t>
        </is>
      </c>
      <c r="H95" s="10" t="inlineStr">
        <is>
          <t>预印本（Preprint）</t>
        </is>
      </c>
      <c r="I95" s="10" t="inlineStr">
        <is>
          <t>02_参考文献/论文全文/S091_Shan_2026.pdf</t>
        </is>
      </c>
      <c r="J95" s="10" t="inlineStr">
        <is>
          <t>R091：PREPRINT；TITLE_AUTHORS_VERIFIED; COMPLETE</t>
        </is>
      </c>
      <c r="K95" s="10" t="inlineStr">
        <is>
          <t>DOI/链接一致；标题一致</t>
        </is>
      </c>
      <c r="L95" s="10" t="inlineStr">
        <is>
          <t>这是预印本：请检查是否已经正式发表；若已发表，按正式版本更新条目（作者、年份、标题、期刊、卷期页码、DOI），并告诉我，以便调整正文中的年份后缀和“预印本”说明。</t>
        </is>
      </c>
      <c r="M95" s="12" t="inlineStr"/>
      <c r="N95" s="12" t="inlineStr"/>
      <c r="O95" s="12" t="inlineStr"/>
      <c r="P95" s="12" t="inlineStr"/>
      <c r="Q95" s="12" t="inlineStr"/>
      <c r="R95" s="12" t="inlineStr"/>
    </row>
    <row r="96">
      <c r="A96" s="10" t="n">
        <v>95</v>
      </c>
      <c r="B96" s="13" t="inlineStr">
        <is>
          <t>建议核</t>
        </is>
      </c>
      <c r="C96" s="10" t="inlineStr">
        <is>
          <t>Shen et al., 2024</t>
        </is>
      </c>
      <c r="D96" s="10" t="inlineStr">
        <is>
          <t>S075</t>
        </is>
      </c>
      <c r="E96" s="10" t="inlineStr">
        <is>
          <t>核心</t>
        </is>
      </c>
      <c r="F96" s="10" t="inlineStr">
        <is>
          <t>Shen, Y., Sun, Y., Li, X., Cao, Z., Eberhard, A., Zhang, G., 2024. Adaptive Stabilization Based on Machine Learning for Column Generation. Proceedings of the 41st International Conference on Machine Learning 235, 44741–44758. https://proceedings.mlr.press/v235/shen24e.html.</t>
        </is>
      </c>
      <c r="G96" s="10" t="inlineStr">
        <is>
          <t>https://proceedings.mlr.press/v235/shen24e.html</t>
        </is>
      </c>
      <c r="H96" s="10" t="inlineStr"/>
      <c r="I96" s="10" t="inlineStr">
        <is>
          <t>02_参考文献/论文全文/S075_Shen_2024.pdf</t>
        </is>
      </c>
      <c r="J96" s="10" t="inlineStr">
        <is>
          <t>R075：CONFERENCE；MATCHED; FULL_MAIN_PDF_READ</t>
        </is>
      </c>
      <c r="K96" s="10" t="inlineStr">
        <is>
          <t>DOI/链接一致；标题一致</t>
        </is>
      </c>
      <c r="L96" s="10" t="inlineStr">
        <is>
          <t>对照原文首页或出版社页面，核对作者、年份、标题、期刊或会议、卷期页码和 DOI。</t>
        </is>
      </c>
      <c r="M96" s="12" t="inlineStr"/>
      <c r="N96" s="12" t="inlineStr"/>
      <c r="O96" s="12" t="inlineStr"/>
      <c r="P96" s="12" t="inlineStr"/>
      <c r="Q96" s="12" t="inlineStr"/>
      <c r="R96" s="12" t="inlineStr"/>
    </row>
    <row r="97">
      <c r="A97" s="10" t="n">
        <v>96</v>
      </c>
      <c r="B97" s="13" t="inlineStr">
        <is>
          <t>建议核</t>
        </is>
      </c>
      <c r="C97" s="10" t="inlineStr">
        <is>
          <t>Shen et al., 2022</t>
        </is>
      </c>
      <c r="D97" s="10" t="inlineStr">
        <is>
          <t>S053</t>
        </is>
      </c>
      <c r="E97" s="10" t="inlineStr">
        <is>
          <t>核心</t>
        </is>
      </c>
      <c r="F97" s="10" t="inlineStr">
        <is>
          <t>Shen, Y., Sun, Y., Li, X., Eberhard, A., Ernst, A., 2022. Enhancing Column Generation by a Machine-Learning-Based Pricing Heuristic for Graph Coloring. Proceedings of the AAAI Conference on Artificial Intelligence 36(9), 9926–9934. https://doi.org/10.1609/aaai.v36i9.21230.</t>
        </is>
      </c>
      <c r="G97" s="10" t="inlineStr">
        <is>
          <t>https://doi.org/10.1609/aaai.v36i9.21230</t>
        </is>
      </c>
      <c r="H97" s="10" t="inlineStr"/>
      <c r="I97" s="10" t="inlineStr">
        <is>
          <t>02_参考文献/论文全文/S053_Shen_2022.pdf</t>
        </is>
      </c>
      <c r="J97" s="10" t="inlineStr">
        <is>
          <t>R053：CONFERENCE；MATCH; COMPLETE_SUPPLIED_PDF</t>
        </is>
      </c>
      <c r="K97" s="10" t="inlineStr">
        <is>
          <t>DOI/链接一致；标题一致</t>
        </is>
      </c>
      <c r="L97" s="10" t="inlineStr">
        <is>
          <t>对照原文首页或出版社页面，核对作者、年份、标题、期刊或会议、卷期页码和 DOI。</t>
        </is>
      </c>
      <c r="M97" s="12" t="inlineStr"/>
      <c r="N97" s="12" t="inlineStr"/>
      <c r="O97" s="12" t="inlineStr"/>
      <c r="P97" s="12" t="inlineStr"/>
      <c r="Q97" s="12" t="inlineStr"/>
      <c r="R97" s="12" t="inlineStr"/>
    </row>
    <row r="98">
      <c r="A98" s="10" t="n">
        <v>97</v>
      </c>
      <c r="B98" s="13" t="inlineStr">
        <is>
          <t>建议核</t>
        </is>
      </c>
      <c r="C98" s="10" t="inlineStr">
        <is>
          <t>Silva et al., 2025</t>
        </is>
      </c>
      <c r="D98" s="10" t="inlineStr">
        <is>
          <t>S034</t>
        </is>
      </c>
      <c r="E98" s="10" t="inlineStr">
        <is>
          <t>核心</t>
        </is>
      </c>
      <c r="F98" s="10" t="inlineStr">
        <is>
          <t>Silva, J.M.P., Uchoa, E., Subramanian, A., 2025. Cluster Branching for Vehicle Routing Problems. INFORMS J. Comput., Articles in Advance. https://doi.org/10.1287/ijoc.2024.1036.</t>
        </is>
      </c>
      <c r="G98" s="10" t="inlineStr">
        <is>
          <t>https://doi.org/10.1287/ijoc.2024.1036</t>
        </is>
      </c>
      <c r="H98" s="10" t="inlineStr"/>
      <c r="I98" s="10" t="inlineStr">
        <is>
          <t>02_参考文献/论文全文/S034_Silva_2025.pdf</t>
        </is>
      </c>
      <c r="J98" s="10" t="inlineStr">
        <is>
          <t>R034：JOURNAL_ADVANCE；MATCHED; FULL_MAIN_PDF_READ</t>
        </is>
      </c>
      <c r="K98" s="10" t="inlineStr">
        <is>
          <t>DOI/链接一致；标题一致</t>
        </is>
      </c>
      <c r="L98" s="10" t="inlineStr">
        <is>
          <t>对照原文首页或出版社页面，核对作者、年份、标题、期刊或会议、卷期页码和 DOI。</t>
        </is>
      </c>
      <c r="M98" s="12" t="inlineStr"/>
      <c r="N98" s="12" t="inlineStr"/>
      <c r="O98" s="12" t="inlineStr"/>
      <c r="P98" s="12" t="inlineStr"/>
      <c r="Q98" s="12" t="inlineStr"/>
      <c r="R98" s="12" t="inlineStr"/>
    </row>
    <row r="99">
      <c r="A99" s="10" t="n">
        <v>98</v>
      </c>
      <c r="B99" s="13" t="inlineStr">
        <is>
          <t>建议核</t>
        </is>
      </c>
      <c r="C99" s="10" t="inlineStr">
        <is>
          <t>Sugishita et al., 2024</t>
        </is>
      </c>
      <c r="D99" s="10" t="inlineStr">
        <is>
          <t>S079</t>
        </is>
      </c>
      <c r="E99" s="10" t="inlineStr">
        <is>
          <t>核心</t>
        </is>
      </c>
      <c r="F99" s="10" t="inlineStr">
        <is>
          <t>Sugishita, N., Grothey, A., McKinnon, K., 2024. Use of Machine Learning Models to Warmstart Column Generation for Unit Commitment. INFORMS J. Comput. 36(4), 1129–1146. https://doi.org/10.1287/ijoc.2022.0140.</t>
        </is>
      </c>
      <c r="G99" s="10" t="inlineStr">
        <is>
          <t>https://doi.org/10.1287/ijoc.2022.0140</t>
        </is>
      </c>
      <c r="H99" s="10" t="inlineStr"/>
      <c r="I99" s="10" t="inlineStr">
        <is>
          <t>02_参考文献/论文全文/S079_Sugishita_2024.pdf</t>
        </is>
      </c>
      <c r="J99" s="10" t="inlineStr">
        <is>
          <t>R079：JOURNAL_VOR；METADATA_VERIFIED;FULLTEXT_NOT_READ；R079-V1：JOURNAL_ADVANCE；MATCHED; FULL_MAIN_PDF_READ</t>
        </is>
      </c>
      <c r="K99" s="10" t="inlineStr">
        <is>
          <t>DOI/链接一致；标题一致</t>
        </is>
      </c>
      <c r="L99" s="10" t="inlineStr">
        <is>
          <t>对照原文首页或出版社页面，核对作者、年份、标题、期刊或会议、卷期页码和 DOI。</t>
        </is>
      </c>
      <c r="M99" s="12" t="inlineStr"/>
      <c r="N99" s="12" t="inlineStr"/>
      <c r="O99" s="12" t="inlineStr"/>
      <c r="P99" s="12" t="inlineStr"/>
      <c r="Q99" s="12" t="inlineStr"/>
      <c r="R99" s="12" t="inlineStr"/>
    </row>
    <row r="100">
      <c r="A100" s="10" t="n">
        <v>99</v>
      </c>
      <c r="B100" s="13" t="inlineStr">
        <is>
          <t>建议核</t>
        </is>
      </c>
      <c r="C100" s="10" t="inlineStr">
        <is>
          <t>Sun et al., 2023</t>
        </is>
      </c>
      <c r="D100" s="10" t="inlineStr">
        <is>
          <t>S080</t>
        </is>
      </c>
      <c r="E100" s="10" t="inlineStr">
        <is>
          <t>核心</t>
        </is>
      </c>
      <c r="F100" s="10" t="inlineStr">
        <is>
          <t>Sun, Y., Ernst, A.T., Li, X., Weiner, J., 2023. Learning to Generate Columns with Application to Vertex Coloring. The Eleventh International Conference on Learning Representations. https://openreview.net/forum?id=JHW30A4DXtO.</t>
        </is>
      </c>
      <c r="G100" s="10" t="inlineStr">
        <is>
          <t>https://openreview.net/forum?id=JHW30A4DXtO</t>
        </is>
      </c>
      <c r="H100" s="10" t="inlineStr"/>
      <c r="I100" s="10" t="inlineStr">
        <is>
          <t>02_参考文献/论文全文/S080_Sun_2023.pdf</t>
        </is>
      </c>
      <c r="J100" s="10" t="inlineStr">
        <is>
          <t>R080：CONFERENCE；MATCHED; FULL_MAIN_PDF_READ</t>
        </is>
      </c>
      <c r="K100" s="10" t="inlineStr">
        <is>
          <t>DOI/链接一致；标题一致</t>
        </is>
      </c>
      <c r="L100" s="10" t="inlineStr">
        <is>
          <t>对照原文首页或出版社页面，核对作者、年份、标题、期刊或会议、卷期页码和 DOI。</t>
        </is>
      </c>
      <c r="M100" s="12" t="inlineStr"/>
      <c r="N100" s="12" t="inlineStr"/>
      <c r="O100" s="12" t="inlineStr"/>
      <c r="P100" s="12" t="inlineStr"/>
      <c r="Q100" s="12" t="inlineStr"/>
      <c r="R100" s="12" t="inlineStr"/>
    </row>
    <row r="101">
      <c r="A101" s="10" t="n">
        <v>100</v>
      </c>
      <c r="B101" s="13" t="inlineStr">
        <is>
          <t>建议核</t>
        </is>
      </c>
      <c r="C101" s="10" t="inlineStr">
        <is>
          <t>Tahir et al., 2021</t>
        </is>
      </c>
      <c r="D101" s="10" t="inlineStr">
        <is>
          <t>S089</t>
        </is>
      </c>
      <c r="E101" s="10" t="inlineStr">
        <is>
          <t>核心</t>
        </is>
      </c>
      <c r="F101" s="10" t="inlineStr">
        <is>
          <t>Tahir, A., Quesnel, F., Desaulniers, G., El Hallaoui, I., Yaakoubi, Y., 2021. An Improved Integral Column Generation Algorithm Using Machine Learning for Aircrew Pairing. Transp. Sci. 55(6), 1411–1429. https://doi.org/10.1287/trsc.2021.1084.</t>
        </is>
      </c>
      <c r="G101" s="10" t="inlineStr">
        <is>
          <t>https://doi.org/10.1287/trsc.2021.1084</t>
        </is>
      </c>
      <c r="H101" s="10" t="inlineStr"/>
      <c r="I101" s="10" t="inlineStr">
        <is>
          <t>02_参考文献/论文全文/S089_Tahir_2021.pdf</t>
        </is>
      </c>
      <c r="J101" s="10" t="inlineStr">
        <is>
          <t>R089：JOURNAL_VOR；MATCHED; FULL_MAIN_PDF_READ</t>
        </is>
      </c>
      <c r="K101" s="10" t="inlineStr">
        <is>
          <t>DOI/链接一致；标题一致</t>
        </is>
      </c>
      <c r="L101" s="10" t="inlineStr">
        <is>
          <t>对照原文首页或出版社页面，核对作者、年份、标题、期刊或会议、卷期页码和 DOI。</t>
        </is>
      </c>
      <c r="M101" s="12" t="inlineStr"/>
      <c r="N101" s="12" t="inlineStr"/>
      <c r="O101" s="12" t="inlineStr"/>
      <c r="P101" s="12" t="inlineStr"/>
      <c r="Q101" s="12" t="inlineStr"/>
      <c r="R101" s="12" t="inlineStr"/>
    </row>
    <row r="102">
      <c r="A102" s="10" t="n">
        <v>101</v>
      </c>
      <c r="B102" s="13" t="inlineStr">
        <is>
          <t>建议核</t>
        </is>
      </c>
      <c r="C102" s="10" t="inlineStr">
        <is>
          <t>Tekil-Ergün and Çebi, 2026</t>
        </is>
      </c>
      <c r="D102" s="10" t="inlineStr">
        <is>
          <t>S086</t>
        </is>
      </c>
      <c r="E102" s="10" t="inlineStr">
        <is>
          <t>核心</t>
        </is>
      </c>
      <c r="F102" s="10" t="inlineStr">
        <is>
          <t>Tekil-Ergün, S., Çebi, F., 2026. Clustering-based column generation and heuristic methods for the container loading problem with practical constraints: A case study. Journal of Industrial Engineering and Management 19(1), 99–119. https://doi.org/10.3926/jiem.8741.</t>
        </is>
      </c>
      <c r="G102" s="10" t="inlineStr">
        <is>
          <t>https://doi.org/10.3926/jiem.8741</t>
        </is>
      </c>
      <c r="H102" s="10" t="inlineStr"/>
      <c r="I102" s="10" t="inlineStr">
        <is>
          <t>02_参考文献/论文全文/S086_TekilErgun_2026.pdf</t>
        </is>
      </c>
      <c r="J102" s="10" t="inlineStr">
        <is>
          <t>R086：JOURNAL_VOR；MATCHED; FULL_MAIN_PDF_READ</t>
        </is>
      </c>
      <c r="K102" s="10" t="inlineStr">
        <is>
          <t>DOI/链接一致；标题一致</t>
        </is>
      </c>
      <c r="L102" s="10" t="inlineStr">
        <is>
          <t>对照原文首页或出版社页面，核对作者、年份、标题、期刊或会议、卷期页码和 DOI。</t>
        </is>
      </c>
      <c r="M102" s="12" t="inlineStr"/>
      <c r="N102" s="12" t="inlineStr"/>
      <c r="O102" s="12" t="inlineStr"/>
      <c r="P102" s="12" t="inlineStr"/>
      <c r="Q102" s="12" t="inlineStr"/>
      <c r="R102" s="12" t="inlineStr"/>
    </row>
    <row r="103">
      <c r="A103" s="10" t="n">
        <v>102</v>
      </c>
      <c r="B103" s="13" t="inlineStr">
        <is>
          <t>建议核</t>
        </is>
      </c>
      <c r="C103" s="10" t="inlineStr">
        <is>
          <t>Tilk et al., 2017</t>
        </is>
      </c>
      <c r="D103" s="10" t="inlineStr">
        <is>
          <t>S037</t>
        </is>
      </c>
      <c r="E103" s="10" t="inlineStr">
        <is>
          <t>核心</t>
        </is>
      </c>
      <c r="F103" s="10" t="inlineStr">
        <is>
          <t>Tilk, C., Rothenbächer, A.-K., Gschwind, T., Irnich, S., 2017. Asymmetry matters: Dynamic half-way points in bidirectional labeling for solving shortest path problems with resource constraints faster. Eur. J. Oper. Res. 261(2), 530–539. https://doi.org/10.1016/j.ejor.2017.03.017.</t>
        </is>
      </c>
      <c r="G103" s="10" t="inlineStr">
        <is>
          <t>https://doi.org/10.1016/j.ejor.2017.03.017</t>
        </is>
      </c>
      <c r="H103" s="10" t="inlineStr"/>
      <c r="I103" s="10" t="inlineStr">
        <is>
          <t>02_参考文献/论文全文/S037_Tilk_2017.pdf</t>
        </is>
      </c>
      <c r="J103" s="10" t="inlineStr">
        <is>
          <t>R037：JOURNAL_VOR；METADATA_VERIFIED; FULLTEXT_SCREENING_PENDING；R037-V1：ACCEPTED_MANUSCRIPT；MATCHED_TITLE_AUTHORS_DOI; FULLTEXT_READ_INCLUDING_REFERENCES</t>
        </is>
      </c>
      <c r="K103" s="10" t="inlineStr">
        <is>
          <t>DOI/链接一致；标题一致</t>
        </is>
      </c>
      <c r="L103" s="10" t="inlineStr">
        <is>
          <t>对照原文首页或出版社页面，核对作者、年份、标题、期刊或会议、卷期页码和 DOI。</t>
        </is>
      </c>
      <c r="M103" s="12" t="inlineStr"/>
      <c r="N103" s="12" t="inlineStr"/>
      <c r="O103" s="12" t="inlineStr"/>
      <c r="P103" s="12" t="inlineStr"/>
      <c r="Q103" s="12" t="inlineStr"/>
      <c r="R103" s="12" t="inlineStr"/>
    </row>
    <row r="104">
      <c r="A104" s="10" t="n">
        <v>103</v>
      </c>
      <c r="B104" s="13" t="inlineStr">
        <is>
          <t>建议核</t>
        </is>
      </c>
      <c r="C104" s="10" t="inlineStr">
        <is>
          <t>Václavík et al., 2018</t>
        </is>
      </c>
      <c r="D104" s="10" t="inlineStr">
        <is>
          <t>S048</t>
        </is>
      </c>
      <c r="E104" s="10" t="inlineStr">
        <is>
          <t>核心</t>
        </is>
      </c>
      <c r="F104" s="10" t="inlineStr">
        <is>
          <t>Václavík, R., Novák, A., Šůcha, P., Hanzálek, Z., 2018. Accelerating the Branch-and-Price Algorithm Using Machine Learning. Eur. J. Oper. Res. 271(3), 1055–1069. https://doi.org/10.1016/j.ejor.2018.05.046.</t>
        </is>
      </c>
      <c r="G104" s="10" t="inlineStr">
        <is>
          <t>https://doi.org/10.1016/j.ejor.2018.05.046</t>
        </is>
      </c>
      <c r="H104" s="10" t="inlineStr"/>
      <c r="I104" s="10" t="inlineStr">
        <is>
          <t>02_参考文献/论文全文/S048_Vaclavik_2018.pdf</t>
        </is>
      </c>
      <c r="J104" s="10" t="inlineStr">
        <is>
          <t>R048：JOURNAL_VOR；METADATA_VERIFIED;FULLTEXT_NOT_READ；R048-V1：ACCEPTED_MANUSCRIPT；MATCH; COMPLETE_SUPPLIED_PDF</t>
        </is>
      </c>
      <c r="K104" s="10" t="inlineStr">
        <is>
          <t>DOI/链接一致；标题一致</t>
        </is>
      </c>
      <c r="L104" s="10" t="inlineStr">
        <is>
          <t>对照原文首页或出版社页面，核对作者、年份、标题、期刊或会议、卷期页码和 DOI。</t>
        </is>
      </c>
      <c r="M104" s="12" t="inlineStr"/>
      <c r="N104" s="12" t="inlineStr"/>
      <c r="O104" s="12" t="inlineStr"/>
      <c r="P104" s="12" t="inlineStr"/>
      <c r="Q104" s="12" t="inlineStr"/>
      <c r="R104" s="12" t="inlineStr"/>
    </row>
    <row r="105">
      <c r="A105" s="10" t="n">
        <v>104</v>
      </c>
      <c r="B105" s="9" t="inlineStr">
        <is>
          <t>必核</t>
        </is>
      </c>
      <c r="C105" s="10" t="inlineStr">
        <is>
          <t>Valério de Carvalho, 2005</t>
        </is>
      </c>
      <c r="D105" s="10" t="inlineStr"/>
      <c r="E105" s="10" t="inlineStr">
        <is>
          <t>其他引用</t>
        </is>
      </c>
      <c r="F105" s="10" t="inlineStr">
        <is>
          <t>Valério de Carvalho, J.M., 2005. Using Extra Dual Cuts to Accelerate Column Generation. INFORMS J. Comput. 17(2), 175–182. https://doi.org/10.1287/ijoc.1030.0060.</t>
        </is>
      </c>
      <c r="G105" s="10" t="inlineStr">
        <is>
          <t>https://doi.org/10.1287/ijoc.1030.0060</t>
        </is>
      </c>
      <c r="H105" s="10" t="inlineStr"/>
      <c r="I105" s="10" t="inlineStr">
        <is>
          <t>未获取原文：按 DOI 打开出版社页面或摘要核对</t>
        </is>
      </c>
      <c r="J105" s="10" t="inlineStr">
        <is>
          <t>数据包中没有该文献的记录</t>
        </is>
      </c>
      <c r="K105" s="10" t="inlineStr">
        <is>
          <t>无法自动比对，请按 DOI 核对</t>
        </is>
      </c>
      <c r="L105" s="10" t="inlineStr">
        <is>
          <t>数据包中没有这篇文献的记录：请打开 DOI 链接，逐项核对作者、年份、标题、期刊或书名、卷期页码和 DOI。</t>
        </is>
      </c>
      <c r="M105" s="12" t="inlineStr"/>
      <c r="N105" s="12" t="inlineStr"/>
      <c r="O105" s="12" t="inlineStr"/>
      <c r="P105" s="12" t="inlineStr"/>
      <c r="Q105" s="12" t="inlineStr"/>
      <c r="R105" s="12" t="inlineStr"/>
    </row>
    <row r="106">
      <c r="A106" s="10" t="n">
        <v>105</v>
      </c>
      <c r="B106" s="13" t="inlineStr">
        <is>
          <t>建议核</t>
        </is>
      </c>
      <c r="C106" s="10" t="inlineStr">
        <is>
          <t>Vanderbeck, 2005</t>
        </is>
      </c>
      <c r="D106" s="10" t="inlineStr">
        <is>
          <t>S040</t>
        </is>
      </c>
      <c r="E106" s="10" t="inlineStr">
        <is>
          <t>背景</t>
        </is>
      </c>
      <c r="F106" s="10" t="inlineStr">
        <is>
          <t>Vanderbeck, F., 2005. Implementing Mixed Integer Column Generation. In: Desaulniers, G., Desrosiers, J., Solomon, M.M. (Eds.), Column Generation. Springer, Boston, MA, pp. 331–358. https://doi.org/10.1007/0-387-25486-2_12.</t>
        </is>
      </c>
      <c r="G106" s="10" t="inlineStr">
        <is>
          <t>https://doi.org/10.1007/0-387-25486-2_12</t>
        </is>
      </c>
      <c r="H106" s="10" t="inlineStr"/>
      <c r="I106" s="10" t="inlineStr">
        <is>
          <t>02_参考文献/论文全文/ 中以 S040_ 开头的文件</t>
        </is>
      </c>
      <c r="J106" s="10" t="inlineStr">
        <is>
          <t>R040：OTHER；MATCHED_TITLE_AUTHORS_DOI; FULLTEXT_READ_INCLUDING_REFERENCES</t>
        </is>
      </c>
      <c r="K106" s="10" t="inlineStr">
        <is>
          <t>DOI/链接一致；标题一致</t>
        </is>
      </c>
      <c r="L106" s="10" t="inlineStr">
        <is>
          <t>对照原文首页或出版社页面，核对作者、年份、标题、期刊或会议、卷期页码和 DOI。</t>
        </is>
      </c>
      <c r="M106" s="12" t="inlineStr"/>
      <c r="N106" s="12" t="inlineStr"/>
      <c r="O106" s="12" t="inlineStr"/>
      <c r="P106" s="12" t="inlineStr"/>
      <c r="Q106" s="12" t="inlineStr"/>
      <c r="R106" s="12" t="inlineStr"/>
    </row>
    <row r="107">
      <c r="A107" s="10" t="n">
        <v>106</v>
      </c>
      <c r="B107" s="9" t="inlineStr">
        <is>
          <t>必核</t>
        </is>
      </c>
      <c r="C107" s="10" t="inlineStr">
        <is>
          <t>Wang and Khir, 2026</t>
        </is>
      </c>
      <c r="D107" s="10" t="inlineStr">
        <is>
          <t>S063</t>
        </is>
      </c>
      <c r="E107" s="10" t="inlineStr">
        <is>
          <t>核心</t>
        </is>
      </c>
      <c r="F107" s="10" t="inlineStr">
        <is>
          <t>Wang, O., Khir, R., 2026. Learning to Control Stabilization in Column Generation. arXiv preprint, 2604.23889v2 [Preprint; not peer reviewed]. https://arxiv.org/abs/2604.23889v2.</t>
        </is>
      </c>
      <c r="G107" s="10" t="inlineStr">
        <is>
          <t>https://arxiv.org/abs/2604.23889v2</t>
        </is>
      </c>
      <c r="H107" s="10" t="inlineStr">
        <is>
          <t>预印本（Preprint）</t>
        </is>
      </c>
      <c r="I107" s="10" t="inlineStr">
        <is>
          <t>02_参考文献/论文全文/S063_Wang_2026.pdf</t>
        </is>
      </c>
      <c r="J107" s="10" t="inlineStr">
        <is>
          <t>R063：PREPRINT；MATCH; COMPLETE_SUPPLIED_PDF</t>
        </is>
      </c>
      <c r="K107" s="10" t="inlineStr">
        <is>
          <t>DOI/链接一致；标题一致</t>
        </is>
      </c>
      <c r="L107" s="10" t="inlineStr">
        <is>
          <t>这是预印本：请检查是否已经正式发表；若已发表，按正式版本更新条目（作者、年份、标题、期刊、卷期页码、DOI），并告诉我，以便调整正文中的年份后缀和“预印本”说明。</t>
        </is>
      </c>
      <c r="M107" s="12" t="inlineStr"/>
      <c r="N107" s="12" t="inlineStr"/>
      <c r="O107" s="12" t="inlineStr"/>
      <c r="P107" s="12" t="inlineStr"/>
      <c r="Q107" s="12" t="inlineStr"/>
      <c r="R107" s="12" t="inlineStr"/>
    </row>
    <row r="108">
      <c r="A108" s="10" t="n">
        <v>107</v>
      </c>
      <c r="B108" s="9" t="inlineStr">
        <is>
          <t>必核</t>
        </is>
      </c>
      <c r="C108" s="10" t="inlineStr">
        <is>
          <t>Wentges, 1997</t>
        </is>
      </c>
      <c r="D108" s="10" t="inlineStr"/>
      <c r="E108" s="10" t="inlineStr">
        <is>
          <t>其他引用</t>
        </is>
      </c>
      <c r="F108" s="10" t="inlineStr">
        <is>
          <t>Wentges, P., 1997. Weighted Dantzig–Wolfe Decomposition for Linear Mixed‐integer Programming. Int. Trans. Oper. Res. 4(2), 151–162. https://doi.org/10.1111/j.1475-3995.1997.tb00071.x.</t>
        </is>
      </c>
      <c r="G108" s="10" t="inlineStr">
        <is>
          <t>https://doi.org/10.1111/j.1475-3995.1997.tb00071.x</t>
        </is>
      </c>
      <c r="H108" s="10" t="inlineStr"/>
      <c r="I108" s="10" t="inlineStr">
        <is>
          <t>未获取原文：按 DOI 打开出版社页面或摘要核对</t>
        </is>
      </c>
      <c r="J108" s="10" t="inlineStr">
        <is>
          <t>数据包中没有该文献的记录</t>
        </is>
      </c>
      <c r="K108" s="10" t="inlineStr">
        <is>
          <t>无法自动比对，请按 DOI 核对</t>
        </is>
      </c>
      <c r="L108" s="10" t="inlineStr">
        <is>
          <t>数据包中没有这篇文献的记录：请打开 DOI 链接，逐项核对作者、年份、标题、期刊或书名、卷期页码和 DOI。</t>
        </is>
      </c>
      <c r="M108" s="12" t="inlineStr"/>
      <c r="N108" s="12" t="inlineStr"/>
      <c r="O108" s="12" t="inlineStr"/>
      <c r="P108" s="12" t="inlineStr"/>
      <c r="Q108" s="12" t="inlineStr"/>
      <c r="R108" s="12" t="inlineStr"/>
    </row>
    <row r="109">
      <c r="A109" s="10" t="n">
        <v>108</v>
      </c>
      <c r="B109" s="13" t="inlineStr">
        <is>
          <t>建议核</t>
        </is>
      </c>
      <c r="C109" s="10" t="inlineStr">
        <is>
          <t>Wilhelm, 2001</t>
        </is>
      </c>
      <c r="D109" s="10" t="inlineStr">
        <is>
          <t>S014</t>
        </is>
      </c>
      <c r="E109" s="10" t="inlineStr">
        <is>
          <t>背景</t>
        </is>
      </c>
      <c r="F109" s="10" t="inlineStr">
        <is>
          <t>Wilhelm, W.E., 2001. A Technical Review of Column Generation in Integer Programming. Optim. Eng. 2(2), 159–200. https://doi.org/10.1023/a:1013141227104. Erratum: Optim. Eng. 6 (2005), 273–274. https://doi.org/10.1007/s11081-005-6799-8.</t>
        </is>
      </c>
      <c r="G109" s="10" t="inlineStr">
        <is>
          <t>https://doi.org/10.1023/a:1013141227104</t>
        </is>
      </c>
      <c r="H109" s="10" t="inlineStr"/>
      <c r="I109" s="10" t="inlineStr">
        <is>
          <t>02_参考文献/论文全文/ 中以 S014_ 开头的文件</t>
        </is>
      </c>
      <c r="J109" s="10" t="inlineStr">
        <is>
          <t>R014：JOURNAL_VOR；TITLE_AUTHORS_VERIFIED; COMPLETE；R015：JOURNAL_VOR；TITLE_AND_CORRECTIONS_READ</t>
        </is>
      </c>
      <c r="K109" s="10" t="inlineStr">
        <is>
          <t>DOI/链接一致；标题一致</t>
        </is>
      </c>
      <c r="L109" s="10" t="inlineStr">
        <is>
          <t>对照原文首页或出版社页面，核对作者、年份、标题、期刊或会议、卷期页码和 DOI。</t>
        </is>
      </c>
      <c r="M109" s="12" t="inlineStr"/>
      <c r="N109" s="12" t="inlineStr"/>
      <c r="O109" s="12" t="inlineStr"/>
      <c r="P109" s="12" t="inlineStr"/>
      <c r="Q109" s="12" t="inlineStr"/>
      <c r="R109" s="12" t="inlineStr"/>
    </row>
    <row r="110">
      <c r="A110" s="10" t="n">
        <v>109</v>
      </c>
      <c r="B110" s="13" t="inlineStr">
        <is>
          <t>建议核</t>
        </is>
      </c>
      <c r="C110" s="10" t="inlineStr">
        <is>
          <t>Xia and Zhang, 2024</t>
        </is>
      </c>
      <c r="D110" s="10" t="inlineStr">
        <is>
          <t>S083</t>
        </is>
      </c>
      <c r="E110" s="10" t="inlineStr">
        <is>
          <t>核心</t>
        </is>
      </c>
      <c r="F110" s="10" t="inlineStr">
        <is>
          <t>Xia, Y., Zhang, X., 2024. A Neural Column Generation Approach to the Vehicle Routing Problem with Two-Dimensional Loading and Last-In-First-Out Constraints. Proceedings of the Thirty-Third International Joint Conference on Artificial Intelligence, 1970–1978. https://doi.org/10.24963/ijcai.2024/218.</t>
        </is>
      </c>
      <c r="G110" s="10" t="inlineStr">
        <is>
          <t>https://doi.org/10.24963/ijcai.2024/218</t>
        </is>
      </c>
      <c r="H110" s="10" t="inlineStr"/>
      <c r="I110" s="10" t="inlineStr">
        <is>
          <t>02_参考文献/论文全文/S083_Xia_2024.pdf</t>
        </is>
      </c>
      <c r="J110" s="10" t="inlineStr">
        <is>
          <t>R083：CONFERENCE；MATCHED; FULL_MAIN_PDF_READ</t>
        </is>
      </c>
      <c r="K110" s="10" t="inlineStr">
        <is>
          <t>DOI/链接一致；标题一致</t>
        </is>
      </c>
      <c r="L110" s="10" t="inlineStr">
        <is>
          <t>对照原文首页或出版社页面，核对作者、年份、标题、期刊或会议、卷期页码和 DOI。</t>
        </is>
      </c>
      <c r="M110" s="12" t="inlineStr"/>
      <c r="N110" s="12" t="inlineStr"/>
      <c r="O110" s="12" t="inlineStr"/>
      <c r="P110" s="12" t="inlineStr"/>
      <c r="Q110" s="12" t="inlineStr"/>
      <c r="R110" s="12" t="inlineStr"/>
    </row>
    <row r="111">
      <c r="A111" s="10" t="n">
        <v>110</v>
      </c>
      <c r="B111" s="13" t="inlineStr">
        <is>
          <t>建议核</t>
        </is>
      </c>
      <c r="C111" s="10" t="inlineStr">
        <is>
          <t>Xu et al., 2024</t>
        </is>
      </c>
      <c r="D111" s="10" t="inlineStr">
        <is>
          <t>S088</t>
        </is>
      </c>
      <c r="E111" s="10" t="inlineStr">
        <is>
          <t>核心</t>
        </is>
      </c>
      <c r="F111" s="10" t="inlineStr">
        <is>
          <t>Xu, H., Shen, Y., Sun, Y., Li, X., 2024. Machine Learning-Enhanced Ant Colony Optimization for Column Generation. Proceedings of the Genetic and Evolutionary Computation Conference, 1073–1081. https://doi.org/10.1145/3638529.3654043.</t>
        </is>
      </c>
      <c r="G111" s="10" t="inlineStr">
        <is>
          <t>https://doi.org/10.1145/3638529.3654043</t>
        </is>
      </c>
      <c r="H111" s="10" t="inlineStr"/>
      <c r="I111" s="10" t="inlineStr">
        <is>
          <t>02_参考文献/论文全文/S088_Xu_2024.pdf</t>
        </is>
      </c>
      <c r="J111" s="10" t="inlineStr">
        <is>
          <t>R088：CONFERENCE；MATCHED; FULL_MAIN_PDF_READ</t>
        </is>
      </c>
      <c r="K111" s="10" t="inlineStr">
        <is>
          <t>DOI/链接一致；标题一致</t>
        </is>
      </c>
      <c r="L111" s="10" t="inlineStr">
        <is>
          <t>对照原文首页或出版社页面，核对作者、年份、标题、期刊或会议、卷期页码和 DOI。</t>
        </is>
      </c>
      <c r="M111" s="12" t="inlineStr"/>
      <c r="N111" s="12" t="inlineStr"/>
      <c r="O111" s="12" t="inlineStr"/>
      <c r="P111" s="12" t="inlineStr"/>
      <c r="Q111" s="12" t="inlineStr"/>
      <c r="R111" s="12" t="inlineStr"/>
    </row>
    <row r="112">
      <c r="A112" s="10" t="n">
        <v>111</v>
      </c>
      <c r="B112" s="13" t="inlineStr">
        <is>
          <t>建议核</t>
        </is>
      </c>
      <c r="C112" s="10" t="inlineStr">
        <is>
          <t>Xu et al., 2025</t>
        </is>
      </c>
      <c r="D112" s="10" t="inlineStr">
        <is>
          <t>S060</t>
        </is>
      </c>
      <c r="E112" s="10" t="inlineStr">
        <is>
          <t>核心</t>
        </is>
      </c>
      <c r="F112" s="10" t="inlineStr">
        <is>
          <t>Xu, K., Shen, L., Liu, L., 2025. Enhancing column generation by reinforcement learning-based hyper-heuristic for vehicle routing and scheduling problems. Comput. Ind. Eng. 206, 111138. https://doi.org/10.1016/j.cie.2025.111138.</t>
        </is>
      </c>
      <c r="G112" s="10" t="inlineStr">
        <is>
          <t>https://doi.org/10.1016/j.cie.2025.111138</t>
        </is>
      </c>
      <c r="H112" s="10" t="inlineStr"/>
      <c r="I112" s="10" t="inlineStr">
        <is>
          <t>02_参考文献/论文全文/S060_Xu_2025.pdf</t>
        </is>
      </c>
      <c r="J112" s="10" t="inlineStr">
        <is>
          <t>R060：JOURNAL_VOR；MATCH; COMPLETE_SUPPLIED_PDF</t>
        </is>
      </c>
      <c r="K112" s="10" t="inlineStr">
        <is>
          <t>DOI/链接一致；标题一致</t>
        </is>
      </c>
      <c r="L112" s="10" t="inlineStr">
        <is>
          <t>对照原文首页或出版社页面，核对作者、年份、标题、期刊或会议、卷期页码和 DOI。</t>
        </is>
      </c>
      <c r="M112" s="12" t="inlineStr"/>
      <c r="N112" s="12" t="inlineStr"/>
      <c r="O112" s="12" t="inlineStr"/>
      <c r="P112" s="12" t="inlineStr"/>
      <c r="Q112" s="12" t="inlineStr"/>
      <c r="R112" s="12" t="inlineStr"/>
    </row>
    <row r="113">
      <c r="A113" s="10" t="n">
        <v>112</v>
      </c>
      <c r="B113" s="13" t="inlineStr">
        <is>
          <t>建议核</t>
        </is>
      </c>
      <c r="C113" s="10" t="inlineStr">
        <is>
          <t>Xue et al., 2026</t>
        </is>
      </c>
      <c r="D113" s="10" t="inlineStr">
        <is>
          <t>S071</t>
        </is>
      </c>
      <c r="E113" s="10" t="inlineStr">
        <is>
          <t>核心</t>
        </is>
      </c>
      <c r="F113" s="10" t="inlineStr">
        <is>
          <t>Xue, N., Cui, T., Cheng, S., 2026. Rapid re-optimization via learning-enhanced column generation for vehicle routing with driver break scheduling. Transp. Res. Part E Logist. Transp. Rev. 209, 104764. https://doi.org/10.1016/j.tre.2026.104764.</t>
        </is>
      </c>
      <c r="G113" s="10" t="inlineStr">
        <is>
          <t>https://doi.org/10.1016/j.tre.2026.104764</t>
        </is>
      </c>
      <c r="H113" s="10" t="inlineStr"/>
      <c r="I113" s="10" t="inlineStr">
        <is>
          <t>02_参考文献/论文全文/S071_Xue_2026.pdf</t>
        </is>
      </c>
      <c r="J113" s="10" t="inlineStr">
        <is>
          <t>R071：JOURNAL_VOR；MATCH; COMPLETE_SUPPLIED_PDF</t>
        </is>
      </c>
      <c r="K113" s="10" t="inlineStr">
        <is>
          <t>DOI/链接一致；标题一致</t>
        </is>
      </c>
      <c r="L113" s="10" t="inlineStr">
        <is>
          <t>对照原文首页或出版社页面，核对作者、年份、标题、期刊或会议、卷期页码和 DOI。</t>
        </is>
      </c>
      <c r="M113" s="12" t="inlineStr"/>
      <c r="N113" s="12" t="inlineStr"/>
      <c r="O113" s="12" t="inlineStr"/>
      <c r="P113" s="12" t="inlineStr"/>
      <c r="Q113" s="12" t="inlineStr"/>
      <c r="R113" s="12" t="inlineStr"/>
    </row>
    <row r="114">
      <c r="A114" s="10" t="n">
        <v>113</v>
      </c>
      <c r="B114" s="13" t="inlineStr">
        <is>
          <t>建议核</t>
        </is>
      </c>
      <c r="C114" s="10" t="inlineStr">
        <is>
          <t>Yan et al., 2026</t>
        </is>
      </c>
      <c r="D114" s="10" t="inlineStr">
        <is>
          <t>S095</t>
        </is>
      </c>
      <c r="E114" s="10" t="inlineStr">
        <is>
          <t>支撑</t>
        </is>
      </c>
      <c r="F114" s="10" t="inlineStr">
        <is>
          <t>Yan, F., Clautiaux, F., Froger, A., Albar, B., 2026. Generic machine-learning-augmented beam search for resource-constrained shortest path reformulations of combinatorial optimization problems. Comput. Oper. Res. 187, 107339. https://doi.org/10.1016/j.cor.2025.107339.</t>
        </is>
      </c>
      <c r="G114" s="10" t="inlineStr">
        <is>
          <t>https://doi.org/10.1016/j.cor.2025.107339</t>
        </is>
      </c>
      <c r="H114" s="10" t="inlineStr"/>
      <c r="I114" s="10" t="inlineStr">
        <is>
          <t>02_参考文献/论文全文/S095_Yan_2026.pdf</t>
        </is>
      </c>
      <c r="J114" s="10" t="inlineStr">
        <is>
          <t>R095：JOURNAL_VOR；MATCHED; FULL_MAIN_PDF_READ</t>
        </is>
      </c>
      <c r="K114" s="10" t="inlineStr">
        <is>
          <t>DOI/链接一致；标题一致</t>
        </is>
      </c>
      <c r="L114" s="10" t="inlineStr">
        <is>
          <t>对照原文首页或出版社页面，核对作者、年份、标题、期刊或会议、卷期页码和 DOI。</t>
        </is>
      </c>
      <c r="M114" s="12" t="inlineStr"/>
      <c r="N114" s="12" t="inlineStr"/>
      <c r="O114" s="12" t="inlineStr"/>
      <c r="P114" s="12" t="inlineStr"/>
      <c r="Q114" s="12" t="inlineStr"/>
      <c r="R114" s="12" t="inlineStr"/>
    </row>
    <row r="115">
      <c r="A115" s="10" t="n">
        <v>114</v>
      </c>
      <c r="B115" s="9" t="inlineStr">
        <is>
          <t>必核</t>
        </is>
      </c>
      <c r="C115" s="10" t="inlineStr">
        <is>
          <t>Yang, 2026</t>
        </is>
      </c>
      <c r="D115" s="10" t="inlineStr"/>
      <c r="E115" s="10" t="inlineStr">
        <is>
          <t>本文数据包</t>
        </is>
      </c>
      <c r="F115" s="10" t="inlineStr">
        <is>
          <t>Yang, X., 2026. Data and code for a critical review of column generation and branch-and-price acceleration [dataset]. Version 1.7. Zenodo. https://doi.org/10.5281/zenodo.23386416.</t>
        </is>
      </c>
      <c r="G115" s="10" t="inlineStr">
        <is>
          <t>https://doi.org/10.5281/zenodo.23386416</t>
        </is>
      </c>
      <c r="H115" s="10" t="inlineStr"/>
      <c r="I115" s="10" t="inlineStr">
        <is>
          <t>Zenodo 10.5281/zenodo.23386416</t>
        </is>
      </c>
      <c r="J115" s="10" t="inlineStr">
        <is>
          <t>数据包中没有该文献的记录</t>
        </is>
      </c>
      <c r="K115" s="10" t="inlineStr">
        <is>
          <t>无法自动比对，请按 DOI 核对</t>
        </is>
      </c>
      <c r="L115" s="10" t="inlineStr">
        <is>
          <t>本文数据包：确认 Zenodo DOI、版本号与标题；如发布 v1.8，需更新为新版本。</t>
        </is>
      </c>
      <c r="M115" s="12" t="inlineStr"/>
      <c r="N115" s="12" t="inlineStr"/>
      <c r="O115" s="12" t="inlineStr"/>
      <c r="P115" s="12" t="inlineStr"/>
      <c r="Q115" s="12" t="inlineStr"/>
      <c r="R115" s="12" t="inlineStr"/>
    </row>
    <row r="116">
      <c r="A116" s="10" t="n">
        <v>115</v>
      </c>
      <c r="B116" s="13" t="inlineStr">
        <is>
          <t>建议核</t>
        </is>
      </c>
      <c r="C116" s="10" t="inlineStr">
        <is>
          <t>Yang, 2025</t>
        </is>
      </c>
      <c r="D116" s="10" t="inlineStr">
        <is>
          <t>S021</t>
        </is>
      </c>
      <c r="E116" s="10" t="inlineStr">
        <is>
          <t>核心</t>
        </is>
      </c>
      <c r="F116" s="10" t="inlineStr">
        <is>
          <t>Yang, Y., 2025. DeLuxing: Deep Lagrangian Underestimate Fixing for Column-Generation-Based Exact Methods. Oper. Res. 73(3), 1184–1207. https://doi.org/10.1287/opre.2023.0398.</t>
        </is>
      </c>
      <c r="G116" s="10" t="inlineStr">
        <is>
          <t>https://doi.org/10.1287/opre.2023.0398</t>
        </is>
      </c>
      <c r="H116" s="10" t="inlineStr"/>
      <c r="I116" s="10" t="inlineStr">
        <is>
          <t>02_参考文献/论文全文/S021_Yang_2025.pdf</t>
        </is>
      </c>
      <c r="J116" s="10" t="inlineStr">
        <is>
          <t>R021：JOURNAL_VOR；MATCHED; FULL_MAIN_PDF_READ</t>
        </is>
      </c>
      <c r="K116" s="10" t="inlineStr">
        <is>
          <t>DOI/链接一致；标题一致</t>
        </is>
      </c>
      <c r="L116" s="10" t="inlineStr">
        <is>
          <t>对照原文首页或出版社页面，核对作者、年份、标题、期刊或会议、卷期页码和 DOI。</t>
        </is>
      </c>
      <c r="M116" s="12" t="inlineStr"/>
      <c r="N116" s="12" t="inlineStr"/>
      <c r="O116" s="12" t="inlineStr"/>
      <c r="P116" s="12" t="inlineStr"/>
      <c r="Q116" s="12" t="inlineStr"/>
      <c r="R116" s="12" t="inlineStr"/>
    </row>
    <row r="117">
      <c r="A117" s="10" t="n">
        <v>116</v>
      </c>
      <c r="B117" s="13" t="inlineStr">
        <is>
          <t>建议核</t>
        </is>
      </c>
      <c r="C117" s="10" t="inlineStr">
        <is>
          <t>You et al., 2026b</t>
        </is>
      </c>
      <c r="D117" s="10" t="inlineStr">
        <is>
          <t>S062</t>
        </is>
      </c>
      <c r="E117" s="10" t="inlineStr">
        <is>
          <t>核心</t>
        </is>
      </c>
      <c r="F117" s="10" t="inlineStr">
        <is>
          <t>You, Z., Yang, Y., Wang, X., Yin, W., 2026b. Two-Stage Learning to Branch in Branch-Price-and-Cut Algorithms for Solving Vehicle Routing Problems Exactly. Oper. Res. 74(4), 1811–1833. https://doi.org/10.1287/opre.2023.0615.</t>
        </is>
      </c>
      <c r="G117" s="10" t="inlineStr">
        <is>
          <t>https://doi.org/10.1287/opre.2023.0615</t>
        </is>
      </c>
      <c r="H117" s="10" t="inlineStr"/>
      <c r="I117" s="10" t="inlineStr">
        <is>
          <t>02_参考文献/论文全文/S062_You_2026.pdf</t>
        </is>
      </c>
      <c r="J117" s="10" t="inlineStr">
        <is>
          <t>R062：JOURNAL_VOR；METADATA_VERIFIED;FULLTEXT_NOT_READ；R062-V1：JOURNAL_ADVANCE；MATCH; COMPLETE_SUPPLIED_PDF</t>
        </is>
      </c>
      <c r="K117" s="10" t="inlineStr">
        <is>
          <t>DOI/链接一致；标题一致</t>
        </is>
      </c>
      <c r="L117" s="10" t="inlineStr">
        <is>
          <t>对照原文首页或出版社页面，核对作者、年份、标题、期刊或会议、卷期页码和 DOI。</t>
        </is>
      </c>
      <c r="M117" s="12" t="inlineStr"/>
      <c r="N117" s="12" t="inlineStr"/>
      <c r="O117" s="12" t="inlineStr"/>
      <c r="P117" s="12" t="inlineStr"/>
      <c r="Q117" s="12" t="inlineStr"/>
      <c r="R117" s="12" t="inlineStr"/>
    </row>
    <row r="118">
      <c r="A118" s="10" t="n">
        <v>117</v>
      </c>
      <c r="B118" s="9" t="inlineStr">
        <is>
          <t>必核</t>
        </is>
      </c>
      <c r="C118" s="10" t="inlineStr">
        <is>
          <t>You et al., 2026a</t>
        </is>
      </c>
      <c r="D118" s="10" t="inlineStr">
        <is>
          <t>S066</t>
        </is>
      </c>
      <c r="E118" s="10" t="inlineStr">
        <is>
          <t>核心</t>
        </is>
      </c>
      <c r="F118" s="10" t="inlineStr">
        <is>
          <t>You, Z.R., Tang, B., Liu, H., Mo, B., 2026a. Learned Pairwise Deep Dual-Optimal Inequalities for Stabilizing Column Generation. arXiv preprint, 2607.13373v1 [Preprint; not peer reviewed]. https://arxiv.org/abs/2607.13373v1.</t>
        </is>
      </c>
      <c r="G118" s="10" t="inlineStr">
        <is>
          <t>https://arxiv.org/abs/2607.13373v1</t>
        </is>
      </c>
      <c r="H118" s="10" t="inlineStr">
        <is>
          <t>预印本（Preprint）</t>
        </is>
      </c>
      <c r="I118" s="10" t="inlineStr">
        <is>
          <t>02_参考文献/论文全文/S066_You_2026.pdf</t>
        </is>
      </c>
      <c r="J118" s="10" t="inlineStr">
        <is>
          <t>R066：PREPRINT；MATCH; COMPLETE_SUPPLIED_PDF</t>
        </is>
      </c>
      <c r="K118" s="10" t="inlineStr">
        <is>
          <t>DOI/链接一致；标题一致</t>
        </is>
      </c>
      <c r="L118" s="10" t="inlineStr">
        <is>
          <t>这是预印本：请检查是否已经正式发表；若已发表，按正式版本更新条目（作者、年份、标题、期刊、卷期页码、DOI），并告诉我，以便调整正文中的年份后缀和“预印本”说明。</t>
        </is>
      </c>
      <c r="M118" s="12" t="inlineStr"/>
      <c r="N118" s="12" t="inlineStr"/>
      <c r="O118" s="12" t="inlineStr"/>
      <c r="P118" s="12" t="inlineStr"/>
      <c r="Q118" s="12" t="inlineStr"/>
      <c r="R118" s="12" t="inlineStr"/>
    </row>
    <row r="119">
      <c r="A119" s="10" t="n">
        <v>118</v>
      </c>
      <c r="B119" s="13" t="inlineStr">
        <is>
          <t>建议核</t>
        </is>
      </c>
      <c r="C119" s="10" t="inlineStr">
        <is>
          <t>Yuan et al., 2024</t>
        </is>
      </c>
      <c r="D119" s="10" t="inlineStr">
        <is>
          <t>S057</t>
        </is>
      </c>
      <c r="E119" s="10" t="inlineStr">
        <is>
          <t>核心</t>
        </is>
      </c>
      <c r="F119" s="10" t="inlineStr">
        <is>
          <t>Yuan, H., Fang, L., Song, S., 2024. A Reinforcement-Learning-Based Multiple-Column Selection Strategy for Column Generation. Proceedings of the AAAI Conference on Artificial Intelligence 38(8), 8209–8216. https://doi.org/10.1609/aaai.v38i8.28661.</t>
        </is>
      </c>
      <c r="G119" s="10" t="inlineStr">
        <is>
          <t>https://doi.org/10.1609/aaai.v38i8.28661</t>
        </is>
      </c>
      <c r="H119" s="10" t="inlineStr"/>
      <c r="I119" s="10" t="inlineStr">
        <is>
          <t>02_参考文献/论文全文/S057_Yuan_2024.pdf</t>
        </is>
      </c>
      <c r="J119" s="10" t="inlineStr">
        <is>
          <t>R057：CONFERENCE；MATCH; COMPLETE_SUPPLIED_PDF</t>
        </is>
      </c>
      <c r="K119" s="10" t="inlineStr">
        <is>
          <t>DOI/链接一致；标题一致</t>
        </is>
      </c>
      <c r="L119" s="10" t="inlineStr">
        <is>
          <t>对照原文首页或出版社页面，核对作者、年份、标题、期刊或会议、卷期页码和 DOI。</t>
        </is>
      </c>
      <c r="M119" s="12" t="inlineStr"/>
      <c r="N119" s="12" t="inlineStr"/>
      <c r="O119" s="12" t="inlineStr"/>
      <c r="P119" s="12" t="inlineStr"/>
      <c r="Q119" s="12" t="inlineStr"/>
      <c r="R119" s="12" t="inlineStr"/>
    </row>
    <row r="120">
      <c r="A120" s="10" t="n">
        <v>119</v>
      </c>
      <c r="B120" s="13" t="inlineStr">
        <is>
          <t>建议核</t>
        </is>
      </c>
      <c r="C120" s="10" t="inlineStr">
        <is>
          <t>Zhang et al., 2022</t>
        </is>
      </c>
      <c r="D120" s="10" t="inlineStr">
        <is>
          <t>S052</t>
        </is>
      </c>
      <c r="E120" s="10" t="inlineStr">
        <is>
          <t>核心</t>
        </is>
      </c>
      <c r="F120" s="10" t="inlineStr">
        <is>
          <t>Zhang, X., Chen, L., Gendreau, M., Langevin, A., 2022. Learning-Based Branch-and-Price Algorithms for the Vehicle Routing Problem with Time Windows and Two-Dimensional Loading Constraints. INFORMS J. Comput. 34(3), 1419–1436. https://doi.org/10.1287/ijoc.2021.1110.</t>
        </is>
      </c>
      <c r="G120" s="10" t="inlineStr">
        <is>
          <t>https://doi.org/10.1287/ijoc.2021.1110</t>
        </is>
      </c>
      <c r="H120" s="10" t="inlineStr"/>
      <c r="I120" s="10" t="inlineStr">
        <is>
          <t>02_参考文献/论文全文/S052_Zhang_2022.pdf</t>
        </is>
      </c>
      <c r="J120" s="10" t="inlineStr">
        <is>
          <t>R052：JOURNAL_VOR；MATCH; COMPLETE_SUPPLIED_PDF</t>
        </is>
      </c>
      <c r="K120" s="10" t="inlineStr">
        <is>
          <t>DOI/链接一致；标题一致</t>
        </is>
      </c>
      <c r="L120" s="10" t="inlineStr">
        <is>
          <t>对照原文首页或出版社页面，核对作者、年份、标题、期刊或会议、卷期页码和 DOI。</t>
        </is>
      </c>
      <c r="M120" s="12" t="inlineStr"/>
      <c r="N120" s="12" t="inlineStr"/>
      <c r="O120" s="12" t="inlineStr"/>
      <c r="P120" s="12" t="inlineStr"/>
      <c r="Q120" s="12" t="inlineStr"/>
      <c r="R120" s="12" t="inlineStr"/>
    </row>
    <row r="121">
      <c r="A121" s="10" t="n">
        <v>120</v>
      </c>
      <c r="B121" s="13" t="inlineStr">
        <is>
          <t>建议核</t>
        </is>
      </c>
      <c r="C121" s="10" t="inlineStr">
        <is>
          <t>Zhang et al., 2025</t>
        </is>
      </c>
      <c r="D121" s="10" t="inlineStr">
        <is>
          <t>S072</t>
        </is>
      </c>
      <c r="E121" s="10" t="inlineStr">
        <is>
          <t>核心</t>
        </is>
      </c>
      <c r="F121" s="10" t="inlineStr">
        <is>
          <t>Zhang, Z., Jiang, Y., Gao, M., Chen, Y., Wahab, M., 2025. Deep reinforcement learning-based column generation for the two-dimensional vector variable-sized packing problem. Expert Systems with Applications 271, 126534. https://doi.org/10.1016/j.eswa.2025.126534.</t>
        </is>
      </c>
      <c r="G121" s="10" t="inlineStr">
        <is>
          <t>https://doi.org/10.1016/j.eswa.2025.126534</t>
        </is>
      </c>
      <c r="H121" s="10" t="inlineStr"/>
      <c r="I121" s="10" t="inlineStr">
        <is>
          <t>02_参考文献/论文全文/S072_Zhang_2025.pdf</t>
        </is>
      </c>
      <c r="J121" s="10" t="inlineStr">
        <is>
          <t>R072：JOURNAL_VOR；MATCHED; FULL_MAIN_PDF_READ</t>
        </is>
      </c>
      <c r="K121" s="10" t="inlineStr">
        <is>
          <t>DOI/链接一致；标题一致</t>
        </is>
      </c>
      <c r="L121" s="10" t="inlineStr">
        <is>
          <t>对照原文首页或出版社页面，核对作者、年份、标题、期刊或会议、卷期页码和 DOI。</t>
        </is>
      </c>
      <c r="M121" s="12" t="inlineStr"/>
      <c r="N121" s="12" t="inlineStr"/>
      <c r="O121" s="12" t="inlineStr"/>
      <c r="P121" s="12" t="inlineStr"/>
      <c r="Q121" s="12" t="inlineStr"/>
      <c r="R121" s="12" t="inlineStr"/>
    </row>
    <row r="122">
      <c r="A122" s="10" t="n">
        <v>121</v>
      </c>
      <c r="B122" s="13" t="inlineStr">
        <is>
          <t>建议核</t>
        </is>
      </c>
      <c r="C122" s="10" t="inlineStr">
        <is>
          <t>Zhang et al., 2026</t>
        </is>
      </c>
      <c r="D122" s="10" t="inlineStr">
        <is>
          <t>S102</t>
        </is>
      </c>
      <c r="E122" s="10" t="inlineStr">
        <is>
          <t>核心</t>
        </is>
      </c>
      <c r="F122" s="10" t="inlineStr">
        <is>
          <t>Zhang, Z., Li, J., Yang, H., Zheng, Z., Lu, Y., 2026. A Tolerance-Aware Pricing Certificate for Stabilized Dantzig–Wolfe Branch-and-Price in Unit Commitment. Algorithms 19(9), 731. https://doi.org/10.3390/a19090731.</t>
        </is>
      </c>
      <c r="G122" s="10" t="inlineStr">
        <is>
          <t>https://doi.org/10.3390/a19090731</t>
        </is>
      </c>
      <c r="H122" s="10" t="inlineStr"/>
      <c r="I122" s="10" t="inlineStr">
        <is>
          <t>02_参考文献/论文全文/CL002_Zhang_2026.pdf</t>
        </is>
      </c>
      <c r="J122" s="10" t="inlineStr">
        <is>
          <t>R102：JOURNAL_VOR；MATCH_TITLE_AUTHORS_DOI_AND_PUBLISHER_FIRST_PAGE; FULL_MAIN_PDF_READ;ONLINE_SUPPLEMENT_NOT_ACCESSED</t>
        </is>
      </c>
      <c r="K122" s="10" t="inlineStr">
        <is>
          <t>DOI/链接一致；标题一致</t>
        </is>
      </c>
      <c r="L122" s="10" t="inlineStr">
        <is>
          <t>对照原文首页或出版社页面，核对作者、年份、标题、期刊或会议、卷期页码和 DOI。</t>
        </is>
      </c>
      <c r="M122" s="12" t="inlineStr"/>
      <c r="N122" s="12" t="inlineStr"/>
      <c r="O122" s="12" t="inlineStr"/>
      <c r="P122" s="12" t="inlineStr"/>
      <c r="Q122" s="12" t="inlineStr"/>
      <c r="R122" s="12" t="inlineStr"/>
    </row>
    <row r="123">
      <c r="A123" s="10" t="n">
        <v>122</v>
      </c>
      <c r="B123" s="13" t="inlineStr">
        <is>
          <t>建议核</t>
        </is>
      </c>
      <c r="C123" s="10" t="inlineStr">
        <is>
          <t>Zhao et al., 2026</t>
        </is>
      </c>
      <c r="D123" s="10" t="inlineStr">
        <is>
          <t>S097</t>
        </is>
      </c>
      <c r="E123" s="10" t="inlineStr">
        <is>
          <t>核心</t>
        </is>
      </c>
      <c r="F123" s="10" t="inlineStr">
        <is>
          <t>Zhao, J., He, X., Wang, S., Yang, L., Zhen, L., 2026. Machine learning-facilitated algorithm for operations optimization in thermal power plants. Comput. Oper. Res. 191, 107458. https://doi.org/10.1016/j.cor.2026.107458.</t>
        </is>
      </c>
      <c r="G123" s="10" t="inlineStr">
        <is>
          <t>https://doi.org/10.1016/j.cor.2026.107458</t>
        </is>
      </c>
      <c r="H123" s="10" t="inlineStr"/>
      <c r="I123" s="10" t="inlineStr">
        <is>
          <t>02_参考文献/论文全文/S097_Zhao_2026.pdf</t>
        </is>
      </c>
      <c r="J123" s="10" t="inlineStr">
        <is>
          <t>R097：JOURNAL_VOR；TITLE_AUTHORS_VERIFIED; COMPLETE</t>
        </is>
      </c>
      <c r="K123" s="10" t="inlineStr">
        <is>
          <t>DOI/链接一致；标题一致</t>
        </is>
      </c>
      <c r="L123" s="10" t="inlineStr">
        <is>
          <t>对照原文首页或出版社页面，核对作者、年份、标题、期刊或会议、卷期页码和 DOI。</t>
        </is>
      </c>
      <c r="M123" s="12" t="inlineStr"/>
      <c r="N123" s="12" t="inlineStr"/>
      <c r="O123" s="12" t="inlineStr"/>
      <c r="P123" s="12" t="inlineStr"/>
      <c r="Q123" s="12" t="inlineStr"/>
      <c r="R123" s="12" t="inlineStr"/>
    </row>
    <row r="124">
      <c r="A124" s="10" t="n">
        <v>123</v>
      </c>
      <c r="B124" s="13" t="inlineStr">
        <is>
          <t>建议核</t>
        </is>
      </c>
      <c r="C124" s="10" t="inlineStr">
        <is>
          <t>Zhou et al., 2025</t>
        </is>
      </c>
      <c r="D124" s="10" t="inlineStr">
        <is>
          <t>S004</t>
        </is>
      </c>
      <c r="E124" s="10" t="inlineStr">
        <is>
          <t>背景</t>
        </is>
      </c>
      <c r="F124" s="10" t="inlineStr">
        <is>
          <t>Zhou, F., Lischka, A., Kulcsár, B., Wu, J., Haghir Chehreghani, M., Laporte, G., 2025. Learning for routing: A guided review of recent developments and future directions. Transp. Res. Part E Logist. Transp. Rev. 202, 104278. https://doi.org/10.1016/j.tre.2025.104278.</t>
        </is>
      </c>
      <c r="G124" s="10" t="inlineStr">
        <is>
          <t>https://doi.org/10.1016/j.tre.2025.104278</t>
        </is>
      </c>
      <c r="H124" s="10" t="inlineStr"/>
      <c r="I124" s="10" t="inlineStr">
        <is>
          <t>02_参考文献/论文全文/ 中以 S004_ 开头的文件</t>
        </is>
      </c>
      <c r="J124" s="10" t="inlineStr">
        <is>
          <t>R004：JOURNAL_VOR；MATCHED; FULL_MAIN_PDF_READ</t>
        </is>
      </c>
      <c r="K124" s="10" t="inlineStr">
        <is>
          <t>DOI/链接一致；标题一致</t>
        </is>
      </c>
      <c r="L124" s="10" t="inlineStr">
        <is>
          <t>对照原文首页或出版社页面，核对作者、年份、标题、期刊或会议、卷期页码和 DOI。</t>
        </is>
      </c>
      <c r="M124" s="12" t="inlineStr"/>
      <c r="N124" s="12" t="inlineStr"/>
      <c r="O124" s="12" t="inlineStr"/>
      <c r="P124" s="12" t="inlineStr"/>
      <c r="Q124" s="12" t="inlineStr"/>
      <c r="R124" s="12" t="inlineStr"/>
    </row>
  </sheetData>
  <autoFilter ref="A1:R124"/>
  <dataValidations count="5">
    <dataValidation sqref="M2:M124" showDropDown="0" showInputMessage="0" showErrorMessage="1" allowBlank="1" errorTitle="无效输入" error="请从下拉列表中选择" type="list">
      <formula1>"是,否"</formula1>
    </dataValidation>
    <dataValidation sqref="N2:N124" showDropDown="0" showInputMessage="0" showErrorMessage="1" allowBlank="1" errorTitle="无效输入" error="请从下拉列表中选择" type="list">
      <formula1>"是,否,无法判断"</formula1>
    </dataValidation>
    <dataValidation sqref="O2:O124" showDropDown="0" showInputMessage="0" showErrorMessage="1" allowBlank="1" errorTitle="无效输入" error="请从下拉列表中选择" type="list">
      <formula1>"是,否,不适用"</formula1>
    </dataValidation>
    <dataValidation sqref="P2:P124" showDropDown="0" showInputMessage="1" showErrorMessage="0" allowBlank="1" promptTitle="填写提示" prompt="写明要改的字段和正确内容，例如：卷期页码→35(1), 50–65；已正式发表→期刊名、年份、DOI" type="custom">
      <formula1>TRUE</formula1>
    </dataValidation>
    <dataValidation sqref="R2:R124" showDropDown="0" showInputMessage="1" showErrorMessage="0" allowBlank="1" promptTitle="填写提示" prompt="格式：YYYY-MM-DD，例如 2026-10-20" type="custom">
      <formula1>TRUE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28" customWidth="1" min="4" max="4"/>
    <col width="6" customWidth="1" min="5" max="5"/>
    <col width="50" customWidth="1" min="6" max="6"/>
    <col width="24" customWidth="1" min="7" max="7"/>
    <col width="26" customWidth="1" min="8" max="8"/>
    <col width="30" customWidth="1" min="9" max="9"/>
    <col width="10" customWidth="1" min="10" max="10"/>
    <col width="30" customWidth="1" min="11" max="11"/>
    <col width="50" customWidth="1" min="12" max="12"/>
    <col width="9" customWidth="1" min="13" max="13"/>
    <col width="9" customWidth="1" min="14" max="14"/>
    <col width="9" customWidth="1" min="15" max="15"/>
    <col width="12" customWidth="1" min="16" max="16"/>
    <col width="95" customWidth="1" min="17" max="17"/>
    <col width="9" customWidth="1" min="18" max="18"/>
    <col width="11" customWidth="1" min="19" max="19"/>
  </cols>
  <sheetData>
    <row r="1" ht="42" customHeight="1">
      <c r="A1" s="7" t="inlineStr">
        <is>
          <t>优先级</t>
        </is>
      </c>
      <c r="B1" s="7" t="inlineStr">
        <is>
          <t>线索ID</t>
        </is>
      </c>
      <c r="C1" s="7" t="inlineStr">
        <is>
          <t>Crossref 查询</t>
        </is>
      </c>
      <c r="D1" s="7" t="inlineStr">
        <is>
          <t>作者</t>
        </is>
      </c>
      <c r="E1" s="7" t="inlineStr">
        <is>
          <t>年份</t>
        </is>
      </c>
      <c r="F1" s="7" t="inlineStr">
        <is>
          <t>标题</t>
        </is>
      </c>
      <c r="G1" s="7" t="inlineStr">
        <is>
          <t>期刊/会议</t>
        </is>
      </c>
      <c r="H1" s="7" t="inlineStr">
        <is>
          <t>DOI</t>
        </is>
      </c>
      <c r="I1" s="7" t="inlineStr">
        <is>
          <t>当前类别（标题层面，暂定）</t>
        </is>
      </c>
      <c r="J1" s="7" t="inlineStr">
        <is>
          <t>可能的层（仅 CA）</t>
        </is>
      </c>
      <c r="K1" s="7" t="inlineStr">
        <is>
          <t>原始备注</t>
        </is>
      </c>
      <c r="L1" s="7" t="inlineStr">
        <is>
          <t>需要特别确认</t>
        </is>
      </c>
      <c r="M1" s="8" t="inlineStr">
        <is>
          <t>已看标题/摘要 ✎</t>
        </is>
      </c>
      <c r="N1" s="8" t="inlineStr">
        <is>
          <t>类别正确 ✎</t>
        </is>
      </c>
      <c r="O1" s="8" t="inlineStr">
        <is>
          <t>你的类别 ✎</t>
        </is>
      </c>
      <c r="P1" s="8" t="inlineStr">
        <is>
          <t>可能的层（仅 CA，可选）✎</t>
        </is>
      </c>
      <c r="Q1" s="8" t="inlineStr">
        <is>
          <t>理由 ✎</t>
        </is>
      </c>
      <c r="R1" s="8" t="inlineStr">
        <is>
          <t>核对人 ✎</t>
        </is>
      </c>
      <c r="S1" s="8" t="inlineStr">
        <is>
          <t>日期 ✎</t>
        </is>
      </c>
    </row>
    <row r="2">
      <c r="A2" s="9" t="inlineStr">
        <is>
          <t>必核</t>
        </is>
      </c>
      <c r="B2" s="10" t="inlineStr">
        <is>
          <t>CL006</t>
        </is>
      </c>
      <c r="C2" s="10" t="inlineStr">
        <is>
          <t>CRQ04</t>
        </is>
      </c>
      <c r="D2" s="10" t="inlineStr">
        <is>
          <t>Hatem Ben Amor; Jacques Desrosiers</t>
        </is>
      </c>
      <c r="E2" s="10" t="inlineStr">
        <is>
          <t>2006</t>
        </is>
      </c>
      <c r="F2" s="10" t="inlineStr">
        <is>
          <t>A proximal trust-region algorithm for column generation stabilization</t>
        </is>
      </c>
      <c r="G2" s="10" t="inlineStr">
        <is>
          <t>Computers &amp; Operations Research</t>
        </is>
      </c>
      <c r="H2" s="10" t="inlineStr">
        <is>
          <t>10.1016/j.cor.2004.08.003</t>
        </is>
      </c>
      <c r="I2" s="10" t="inlineStr">
        <is>
          <t>CA：L1–L6 层的经典加速（可能符合条件，未编码）</t>
        </is>
      </c>
      <c r="J2" s="10" t="inlineStr">
        <is>
          <t>L2</t>
        </is>
      </c>
      <c r="K2" s="10" t="inlineStr">
        <is>
          <t>Cited in the article as classical context; not coded</t>
        </is>
      </c>
      <c r="L2" s="10" t="inlineStr">
        <is>
          <t>正文点名：§2.1 第4段第5句（“They include proximal trust-region and analytic-centre…”）把它作为“已引用但未编码的经典加速”例子。请确认类别 CA、可能的层与正文描述一致。</t>
        </is>
      </c>
      <c r="M2" s="12" t="inlineStr"/>
      <c r="N2" s="12" t="inlineStr"/>
      <c r="O2" s="12" t="inlineStr"/>
      <c r="P2" s="12" t="inlineStr"/>
      <c r="Q2" s="12" t="inlineStr"/>
      <c r="R2" s="12" t="inlineStr"/>
      <c r="S2" s="12" t="inlineStr"/>
    </row>
    <row r="3">
      <c r="A3" s="9" t="inlineStr">
        <is>
          <t>必核</t>
        </is>
      </c>
      <c r="B3" s="10" t="inlineStr">
        <is>
          <t>CL007</t>
        </is>
      </c>
      <c r="C3" s="10" t="inlineStr">
        <is>
          <t>CRQ04</t>
        </is>
      </c>
      <c r="D3" s="10" t="inlineStr">
        <is>
          <t>Hadi Karimi; Abbas Seifi</t>
        </is>
      </c>
      <c r="E3" s="10" t="inlineStr">
        <is>
          <t>2015</t>
        </is>
      </c>
      <c r="F3" s="10" t="inlineStr">
        <is>
          <t>Analytic centre stabilization of column generation algorithm for the capacitated vehicle routing problem</t>
        </is>
      </c>
      <c r="G3" s="10" t="inlineStr">
        <is>
          <t>Optimization Methods and Software</t>
        </is>
      </c>
      <c r="H3" s="10" t="inlineStr">
        <is>
          <t>10.1080/10556788.2015.1025134</t>
        </is>
      </c>
      <c r="I3" s="10" t="inlineStr">
        <is>
          <t>CA：L1–L6 层的经典加速（可能符合条件，未编码）</t>
        </is>
      </c>
      <c r="J3" s="10" t="inlineStr">
        <is>
          <t>L2</t>
        </is>
      </c>
      <c r="K3" s="10" t="inlineStr">
        <is>
          <t>Cited in the article as classical context; not coded</t>
        </is>
      </c>
      <c r="L3" s="10" t="inlineStr">
        <is>
          <t>正文点名：§2.1 第4段第5句（“They include proximal trust-region and analytic-centre…”）把它作为“已引用但未编码的经典加速”例子。请确认类别 CA、可能的层与正文描述一致。</t>
        </is>
      </c>
      <c r="M3" s="12" t="inlineStr"/>
      <c r="N3" s="12" t="inlineStr"/>
      <c r="O3" s="12" t="inlineStr"/>
      <c r="P3" s="12" t="inlineStr"/>
      <c r="Q3" s="12" t="inlineStr"/>
      <c r="R3" s="12" t="inlineStr"/>
      <c r="S3" s="12" t="inlineStr"/>
    </row>
    <row r="4">
      <c r="A4" s="9" t="inlineStr">
        <is>
          <t>必核</t>
        </is>
      </c>
      <c r="B4" s="10" t="inlineStr">
        <is>
          <t>CL010</t>
        </is>
      </c>
      <c r="C4" s="10" t="inlineStr">
        <is>
          <t>CRQ04</t>
        </is>
      </c>
      <c r="D4" s="10" t="inlineStr">
        <is>
          <t>José M. Valério de Carvalho</t>
        </is>
      </c>
      <c r="E4" s="10" t="inlineStr">
        <is>
          <t>2005</t>
        </is>
      </c>
      <c r="F4" s="10" t="inlineStr">
        <is>
          <t>Using Extra Dual Cuts to Accelerate Column Generation</t>
        </is>
      </c>
      <c r="G4" s="10" t="inlineStr">
        <is>
          <t>INFORMS Journal on Computing</t>
        </is>
      </c>
      <c r="H4" s="10" t="inlineStr">
        <is>
          <t>10.1287/ijoc.1030.0060</t>
        </is>
      </c>
      <c r="I4" s="10" t="inlineStr">
        <is>
          <t>CA：L1–L6 层的经典加速（可能符合条件，未编码）</t>
        </is>
      </c>
      <c r="J4" s="10" t="inlineStr">
        <is>
          <t>L2</t>
        </is>
      </c>
      <c r="K4" s="10" t="inlineStr">
        <is>
          <t>Cited in the article as classical context; not coded</t>
        </is>
      </c>
      <c r="L4" s="10" t="inlineStr">
        <is>
          <t>正文点名：§2.1 第4段第5句（“They include proximal trust-region and analytic-centre…”）把它作为“已引用但未编码的经典加速”例子。请确认类别 CA、可能的层与正文描述一致。</t>
        </is>
      </c>
      <c r="M4" s="12" t="inlineStr"/>
      <c r="N4" s="12" t="inlineStr"/>
      <c r="O4" s="12" t="inlineStr"/>
      <c r="P4" s="12" t="inlineStr"/>
      <c r="Q4" s="12" t="inlineStr"/>
      <c r="R4" s="12" t="inlineStr"/>
      <c r="S4" s="12" t="inlineStr"/>
    </row>
    <row r="5">
      <c r="A5" s="9" t="inlineStr">
        <is>
          <t>必核</t>
        </is>
      </c>
      <c r="B5" s="10" t="inlineStr">
        <is>
          <t>CL011</t>
        </is>
      </c>
      <c r="C5" s="10" t="inlineStr">
        <is>
          <t>CRQ04</t>
        </is>
      </c>
      <c r="D5" s="10" t="inlineStr">
        <is>
          <t>Marco E. Lübbecke</t>
        </is>
      </c>
      <c r="E5" s="10" t="inlineStr">
        <is>
          <t>2005</t>
        </is>
      </c>
      <c r="F5" s="10" t="inlineStr">
        <is>
          <t>Dual variable based fathoming in dynamic programs for column generation</t>
        </is>
      </c>
      <c r="G5" s="10" t="inlineStr">
        <is>
          <t>European Journal of Operational Research</t>
        </is>
      </c>
      <c r="H5" s="10" t="inlineStr">
        <is>
          <t>10.1016/j.ejor.2003.05.006</t>
        </is>
      </c>
      <c r="I5" s="10" t="inlineStr">
        <is>
          <t>CA：L1–L6 层的经典加速（可能符合条件，未编码）</t>
        </is>
      </c>
      <c r="J5" s="10" t="inlineStr">
        <is>
          <t>L4</t>
        </is>
      </c>
      <c r="K5" s="10" t="inlineStr">
        <is>
          <t>Cited in the article as classical context; not coded</t>
        </is>
      </c>
      <c r="L5" s="10" t="inlineStr">
        <is>
          <t>正文点名：§2.1 第4段第5句（“They include proximal trust-region and analytic-centre…”）把它作为“已引用但未编码的经典加速”例子。请确认类别 CA、可能的层与正文描述一致。</t>
        </is>
      </c>
      <c r="M5" s="12" t="inlineStr"/>
      <c r="N5" s="12" t="inlineStr"/>
      <c r="O5" s="12" t="inlineStr"/>
      <c r="P5" s="12" t="inlineStr"/>
      <c r="Q5" s="12" t="inlineStr"/>
      <c r="R5" s="12" t="inlineStr"/>
      <c r="S5" s="12" t="inlineStr"/>
    </row>
    <row r="6">
      <c r="A6" s="9" t="inlineStr">
        <is>
          <t>必核</t>
        </is>
      </c>
      <c r="B6" s="10" t="inlineStr">
        <is>
          <t>CL012</t>
        </is>
      </c>
      <c r="C6" s="10" t="inlineStr">
        <is>
          <t>CRQ04</t>
        </is>
      </c>
      <c r="D6" s="10" t="inlineStr">
        <is>
          <t>Jacek Gondzio; Pablo González-Brevis; Pedro Munari</t>
        </is>
      </c>
      <c r="E6" s="10" t="inlineStr">
        <is>
          <t>2015</t>
        </is>
      </c>
      <c r="F6" s="10" t="inlineStr">
        <is>
          <t>Large-scale optimization with the primal-dual column generation method</t>
        </is>
      </c>
      <c r="G6" s="10" t="inlineStr">
        <is>
          <t>Mathematical Programming Computation</t>
        </is>
      </c>
      <c r="H6" s="10" t="inlineStr">
        <is>
          <t>10.1007/s12532-015-0090-6</t>
        </is>
      </c>
      <c r="I6" s="10" t="inlineStr">
        <is>
          <t>CA：L1–L6 层的经典加速（可能符合条件，未编码）</t>
        </is>
      </c>
      <c r="J6" s="10" t="inlineStr">
        <is>
          <t>L2</t>
        </is>
      </c>
      <c r="K6" s="10" t="inlineStr">
        <is>
          <t>Cited in the article as classical context; not coded</t>
        </is>
      </c>
      <c r="L6" s="10" t="inlineStr">
        <is>
          <t>备注与参考文献不符：备注说“已在正文中作为经典背景引用”，但参考文献表中没有这篇（Gondzio, González-Brevis &amp; Munari 2015, MPC）。正文引用的是 Gondzio et al. 2013（EJOR，S041）和 Gondzio &amp; González-Brevis 2015（Math. Program.，S042），两篇都是已编码研究。请确认：删去该备注，或说明它与 S041/S042 的关系。</t>
        </is>
      </c>
      <c r="M6" s="12" t="inlineStr"/>
      <c r="N6" s="12" t="inlineStr"/>
      <c r="O6" s="12" t="inlineStr"/>
      <c r="P6" s="12" t="inlineStr"/>
      <c r="Q6" s="12" t="inlineStr"/>
      <c r="R6" s="12" t="inlineStr"/>
      <c r="S6" s="12" t="inlineStr"/>
    </row>
    <row r="7">
      <c r="A7" s="9" t="inlineStr">
        <is>
          <t>必核</t>
        </is>
      </c>
      <c r="B7" s="10" t="inlineStr">
        <is>
          <t>CL044</t>
        </is>
      </c>
      <c r="C7" s="10" t="inlineStr">
        <is>
          <t>CRQ08</t>
        </is>
      </c>
      <c r="D7" s="10" t="inlineStr">
        <is>
          <t>Katrin Heßler; Stefan Irnich</t>
        </is>
      </c>
      <c r="E7" s="10" t="inlineStr">
        <is>
          <t>2023</t>
        </is>
      </c>
      <c r="F7" s="10" t="inlineStr">
        <is>
          <t>Partial Dominance in Branch-Price-and-Cut for the Basic Multicompartment Vehicle-Routing Problem</t>
        </is>
      </c>
      <c r="G7" s="10" t="inlineStr">
        <is>
          <t>INFORMS Journal on Computing</t>
        </is>
      </c>
      <c r="H7" s="10" t="inlineStr">
        <is>
          <t>10.1287/ijoc.2022.1255</t>
        </is>
      </c>
      <c r="I7" s="10" t="inlineStr">
        <is>
          <t>CA：L1–L6 层的经典加速（可能符合条件，未编码）</t>
        </is>
      </c>
      <c r="J7" s="10" t="inlineStr">
        <is>
          <t>L4</t>
        </is>
      </c>
      <c r="K7" s="10" t="inlineStr">
        <is>
          <t>Cited in the article as classical context; not coded</t>
        </is>
      </c>
      <c r="L7" s="10" t="inlineStr">
        <is>
          <t>正文点名：§2.1 第4段第5句（“They include proximal trust-region and analytic-centre…”）把它作为“已引用但未编码的经典加速”例子。请确认类别 CA、可能的层与正文描述一致。</t>
        </is>
      </c>
      <c r="M7" s="12" t="inlineStr"/>
      <c r="N7" s="12" t="inlineStr"/>
      <c r="O7" s="12" t="inlineStr"/>
      <c r="P7" s="12" t="inlineStr"/>
      <c r="Q7" s="12" t="inlineStr"/>
      <c r="R7" s="12" t="inlineStr"/>
      <c r="S7" s="12" t="inlineStr"/>
    </row>
    <row r="8" ht="60" customHeight="1">
      <c r="A8" s="9" t="inlineStr">
        <is>
          <t>必核</t>
        </is>
      </c>
      <c r="B8" s="10" t="inlineStr">
        <is>
          <t>CL074</t>
        </is>
      </c>
      <c r="C8" s="10" t="inlineStr">
        <is>
          <t>CRQ10</t>
        </is>
      </c>
      <c r="D8" s="10" t="inlineStr">
        <is>
          <t>Andre Gustavo dos Santos; Geraldo Robson Mateus</t>
        </is>
      </c>
      <c r="E8" s="10" t="inlineStr">
        <is>
          <t>2007</t>
        </is>
      </c>
      <c r="F8" s="10" t="inlineStr">
        <is>
          <t>Hybrid approach to solve a crew scheduling problem: an exact column generation algorithm improved by metaheuristics</t>
        </is>
      </c>
      <c r="G8" s="10" t="inlineStr">
        <is>
          <t>7th International Conference on Hybrid Intelligent Systems (HIS 2007)</t>
        </is>
      </c>
      <c r="H8" s="10" t="inlineStr">
        <is>
          <t>10.1109/his.2007.58</t>
        </is>
      </c>
      <c r="I8" s="10" t="inlineStr">
        <is>
          <t>CA：L1–L6 层的经典加速（可能符合条件，未编码）</t>
        </is>
      </c>
      <c r="J8" s="10" t="inlineStr">
        <is>
          <t>L5</t>
        </is>
      </c>
      <c r="K8" s="10" t="inlineStr"/>
      <c r="L8" s="10" t="inlineStr">
        <is>
          <t>可能重复：CL074 与 CL075 标题和会议相同、DOI 不同（10.1109/his.2007.58 与 10.1109/ichis.2007.4344036）。请打开两个 DOI 判断是否同一篇。若重复，我会把两条合并为一条（保留两个 DOI）：S1 改为 73 条、CA 改为 19 条，并同步修改 §2.1 第4段第1句和第4句、§2.3 第3段第3句、§A.1 第2段第4句、Figure A.1 及其图注第4句。</t>
        </is>
      </c>
      <c r="M8" s="12" t="inlineStr"/>
      <c r="N8" s="12" t="inlineStr"/>
      <c r="O8" s="12" t="inlineStr"/>
      <c r="P8" s="12" t="inlineStr"/>
      <c r="Q8" s="12" t="str">
        <v>D030 标题；DOI：合并为一个独立作品，保留 CL074 为主记录并将 CL075 记为别名。保留两个 DOI 及原始检索行，不作两个独立研究计数。
D030 PDF 不适用（注册元数据）；IEEE向Crossref注册的两条DOI记录；2026-10-15</v>
      </c>
      <c r="R8" s="12" t="str">
        <v>Codex（依据作者裁决）</v>
      </c>
      <c r="S8" s="12" t="str">
        <v>2026-10-15</v>
      </c>
    </row>
    <row r="9" ht="60" customHeight="1">
      <c r="A9" s="9" t="inlineStr">
        <is>
          <t>必核</t>
        </is>
      </c>
      <c r="B9" s="10" t="inlineStr">
        <is>
          <t>CL075</t>
        </is>
      </c>
      <c r="C9" s="10" t="inlineStr">
        <is>
          <t>CRQ10</t>
        </is>
      </c>
      <c r="D9" s="10" t="inlineStr">
        <is>
          <t>Andre Gustavo dos Santos; Geraldo Robson Mateus</t>
        </is>
      </c>
      <c r="E9" s="10" t="inlineStr">
        <is>
          <t>2007</t>
        </is>
      </c>
      <c r="F9" s="10" t="inlineStr">
        <is>
          <t>Hybrid approach to solve a crew scheduling problem: an exact column generation algorithm improved by metaheuristics</t>
        </is>
      </c>
      <c r="G9" s="10" t="inlineStr">
        <is>
          <t>7th International Conference on Hybrid Intelligent Systems (HIS 2007)</t>
        </is>
      </c>
      <c r="H9" s="10" t="inlineStr">
        <is>
          <t>10.1109/ichis.2007.4344036</t>
        </is>
      </c>
      <c r="I9" s="10" t="inlineStr">
        <is>
          <t>CA：L1–L6 层的经典加速（可能符合条件，未编码）</t>
        </is>
      </c>
      <c r="J9" s="10" t="inlineStr">
        <is>
          <t>L5</t>
        </is>
      </c>
      <c r="K9" s="10" t="inlineStr">
        <is>
          <t>Same title and venue as CL074; possible duplicate record</t>
        </is>
      </c>
      <c r="L9" s="10" t="inlineStr">
        <is>
          <t>可能重复：CL074 与 CL075 标题和会议相同、DOI 不同（10.1109/his.2007.58 与 10.1109/ichis.2007.4344036）。请打开两个 DOI 判断是否同一篇。若重复，我会把两条合并为一条（保留两个 DOI）：S1 改为 73 条、CA 改为 19 条，并同步修改 §2.1 第4段第1句和第4句、§2.3 第3段第3句、§A.1 第2段第4句、Figure A.1 及其图注第4句。</t>
        </is>
      </c>
      <c r="M9" s="12" t="inlineStr"/>
      <c r="N9" s="12" t="inlineStr"/>
      <c r="O9" s="12" t="inlineStr"/>
      <c r="P9" s="12" t="inlineStr"/>
      <c r="Q9" s="12" t="str">
        <v>D031 标题；DOI：合并为一个独立作品，保留 CL074 为主记录并将 CL075 记为别名。保留两个 DOI 及原始检索行，不作两个独立研究计数。
D031 PDF 不适用（注册元数据）；IEEE向Crossref注册的两条DOI记录；2026-10-15</v>
      </c>
      <c r="R9" s="12" t="str">
        <v>Codex（依据作者裁决）</v>
      </c>
      <c r="S9" s="12" t="str">
        <v>2026-10-15</v>
      </c>
    </row>
    <row r="10">
      <c r="A10" s="9" t="inlineStr">
        <is>
          <t>必核</t>
        </is>
      </c>
      <c r="B10" s="10" t="inlineStr">
        <is>
          <t>CL079</t>
        </is>
      </c>
      <c r="C10" s="10" t="inlineStr">
        <is>
          <t>CRQ10</t>
        </is>
      </c>
      <c r="D10" s="10" t="inlineStr">
        <is>
          <t>Guy Desaulniers; Jacques Desrosiers; Marius M. Solomon</t>
        </is>
      </c>
      <c r="E10" s="10" t="inlineStr">
        <is>
          <t>2002</t>
        </is>
      </c>
      <c r="F10" s="10" t="inlineStr">
        <is>
          <t>Accelerating Strategies in Column Generation Methods for Vehicle Routing and Crew Scheduling Problems</t>
        </is>
      </c>
      <c r="G10" s="10" t="inlineStr">
        <is>
          <t>Operations Research/Computer Science Interfaces Series; Essays and Surveys in Metaheuristics</t>
        </is>
      </c>
      <c r="H10" s="10" t="inlineStr">
        <is>
          <t>10.1007/978-1-4615-1507-4_14</t>
        </is>
      </c>
      <c r="I10" s="10" t="inlineStr">
        <is>
          <t>CA：L1–L6 层的经典加速（可能符合条件，未编码）</t>
        </is>
      </c>
      <c r="J10" s="10" t="inlineStr">
        <is>
          <t>several</t>
        </is>
      </c>
      <c r="K10" s="10" t="inlineStr">
        <is>
          <t>Classical survey of acceleration strategies; cited in the article as context</t>
        </is>
      </c>
      <c r="L10" s="10" t="inlineStr">
        <is>
          <t>正文点名：§2.1 第4段第5句（“They include proximal trust-region and analytic-centre…”）把它作为“已引用但未编码的经典加速”例子。请确认类别 CA、可能的层与正文描述一致。</t>
        </is>
      </c>
      <c r="M10" s="12" t="inlineStr"/>
      <c r="N10" s="12" t="inlineStr"/>
      <c r="O10" s="12" t="inlineStr"/>
      <c r="P10" s="12" t="inlineStr"/>
      <c r="Q10" s="12" t="inlineStr"/>
      <c r="R10" s="12" t="inlineStr"/>
      <c r="S10" s="12" t="inlineStr"/>
    </row>
    <row r="11">
      <c r="A11" s="13" t="inlineStr">
        <is>
          <t>建议核</t>
        </is>
      </c>
      <c r="B11" s="10" t="inlineStr">
        <is>
          <t>CL001</t>
        </is>
      </c>
      <c r="C11" s="10" t="inlineStr">
        <is>
          <t>CRQ06</t>
        </is>
      </c>
      <c r="D11" s="10" t="inlineStr">
        <is>
          <t>Marjan van den Akker; Han Hoogeveen; Steef van de Velde</t>
        </is>
      </c>
      <c r="E11" s="10" t="inlineStr">
        <is>
          <t>2005</t>
        </is>
      </c>
      <c r="F11" s="10" t="inlineStr">
        <is>
          <t>Applying Column Generation to Machine Scheduling</t>
        </is>
      </c>
      <c r="G11" s="10" t="inlineStr">
        <is>
          <t>Column Generation</t>
        </is>
      </c>
      <c r="H11" s="10" t="inlineStr">
        <is>
          <t>10.1007/0-387-25486-2_11</t>
        </is>
      </c>
      <c r="I11" s="10" t="inlineStr">
        <is>
          <t>AP：CG/B&amp;P 应用或建模，没有单独评估的加速</t>
        </is>
      </c>
      <c r="J11" s="10" t="inlineStr"/>
      <c r="K11" s="10" t="inlineStr"/>
      <c r="L11" s="10" t="inlineStr"/>
      <c r="M11" s="12" t="inlineStr"/>
      <c r="N11" s="12" t="inlineStr"/>
      <c r="O11" s="12" t="inlineStr"/>
      <c r="P11" s="12" t="inlineStr"/>
      <c r="Q11" s="12" t="inlineStr"/>
      <c r="R11" s="12" t="inlineStr"/>
      <c r="S11" s="12" t="inlineStr"/>
    </row>
    <row r="12" ht="60" customHeight="1">
      <c r="A12" s="13" t="inlineStr">
        <is>
          <t>建议核</t>
        </is>
      </c>
      <c r="B12" s="10" t="inlineStr">
        <is>
          <t>CL005</t>
        </is>
      </c>
      <c r="C12" s="10" t="inlineStr">
        <is>
          <t>CRQ04</t>
        </is>
      </c>
      <c r="D12" s="10" t="inlineStr">
        <is>
          <t>Roel Leus; Daniel Kowalczyk</t>
        </is>
      </c>
      <c r="E12" s="10" t="inlineStr">
        <is>
          <t>2016</t>
        </is>
      </c>
      <c r="F12" s="10" t="inlineStr">
        <is>
          <t>Improving column generation methods or sheduling problems using ZDD and stabilization</t>
        </is>
      </c>
      <c r="G12" s="10" t="inlineStr">
        <is>
          <t>2016 IEEE International Conference on Industrial Engineering and Engineering Management (IEEM)</t>
        </is>
      </c>
      <c r="H12" s="10" t="inlineStr">
        <is>
          <t>10.1109/ieem.2016.7797844</t>
        </is>
      </c>
      <c r="I12" s="10" t="inlineStr">
        <is>
          <t>CA：L1–L6 层的经典加速（可能符合条件，未编码）</t>
        </is>
      </c>
      <c r="J12" s="10" t="inlineStr">
        <is>
          <t>L2, L4</t>
        </is>
      </c>
      <c r="K12" s="10" t="inlineStr"/>
      <c r="L12" s="10" t="inlineStr"/>
      <c r="M12" s="12" t="inlineStr"/>
      <c r="N12" s="12" t="str">
        <v>无法判断</v>
      </c>
      <c r="O12" s="12" t="inlineStr"/>
      <c r="P12" s="12" t="inlineStr"/>
      <c r="Q12" s="12" t="str">
        <v>D117 可能的层（仅 CA）：未确定。暂不作为最终分类计数的定案依据。
D117 PDF 不适用（网页/元数据）；Crossref出版社注册标题；2026-10-15；https://api.crossref.org/works/10.1109/ieem.2016.7797844</v>
      </c>
      <c r="R12" s="12" t="str">
        <v>Codex（依据作者裁决）</v>
      </c>
      <c r="S12" s="12" t="str">
        <v>2026-10-15</v>
      </c>
    </row>
    <row r="13">
      <c r="A13" s="13" t="inlineStr">
        <is>
          <t>建议核</t>
        </is>
      </c>
      <c r="B13" s="10" t="inlineStr">
        <is>
          <t>CL008</t>
        </is>
      </c>
      <c r="C13" s="10" t="inlineStr">
        <is>
          <t>CRQ10</t>
        </is>
      </c>
      <c r="D13" s="10" t="inlineStr">
        <is>
          <t>Tatsushi Nishi; Yuki Muroi; Masahiro Inuiguchi</t>
        </is>
      </c>
      <c r="E13" s="10" t="inlineStr">
        <is>
          <t>2011</t>
        </is>
      </c>
      <c r="F13" s="10" t="inlineStr">
        <is>
          <t>Column generation with dual inequalities for railway crew scheduling problems</t>
        </is>
      </c>
      <c r="G13" s="10" t="inlineStr">
        <is>
          <t>Public Transport</t>
        </is>
      </c>
      <c r="H13" s="10" t="inlineStr">
        <is>
          <t>10.1007/s12469-011-0037-x</t>
        </is>
      </c>
      <c r="I13" s="10" t="inlineStr">
        <is>
          <t>CA：L1–L6 层的经典加速（可能符合条件，未编码）</t>
        </is>
      </c>
      <c r="J13" s="10" t="inlineStr">
        <is>
          <t>L2</t>
        </is>
      </c>
      <c r="K13" s="10" t="inlineStr"/>
      <c r="L13" s="10" t="inlineStr"/>
      <c r="M13" s="12" t="inlineStr"/>
      <c r="N13" s="12" t="inlineStr"/>
      <c r="O13" s="12" t="inlineStr"/>
      <c r="P13" s="12" t="inlineStr"/>
      <c r="Q13" s="12" t="inlineStr"/>
      <c r="R13" s="12" t="inlineStr"/>
      <c r="S13" s="12" t="inlineStr"/>
    </row>
    <row r="14">
      <c r="A14" s="13" t="inlineStr">
        <is>
          <t>建议核</t>
        </is>
      </c>
      <c r="B14" s="10" t="inlineStr">
        <is>
          <t>CL009</t>
        </is>
      </c>
      <c r="C14" s="10" t="inlineStr">
        <is>
          <t>CRQ04</t>
        </is>
      </c>
      <c r="D14" s="10" t="inlineStr">
        <is>
          <t>Timo Gschwind; Stefan Irnich</t>
        </is>
      </c>
      <c r="E14" s="10" t="inlineStr">
        <is>
          <t>2016</t>
        </is>
      </c>
      <c r="F14" s="10" t="inlineStr">
        <is>
          <t>Stabilized column generation for the temporal knapsack problem using dual-optimal inequalities</t>
        </is>
      </c>
      <c r="G14" s="10" t="inlineStr">
        <is>
          <t>OR Spectrum</t>
        </is>
      </c>
      <c r="H14" s="10" t="inlineStr">
        <is>
          <t>10.1007/s00291-016-0463-x</t>
        </is>
      </c>
      <c r="I14" s="10" t="inlineStr">
        <is>
          <t>CA：L1–L6 层的经典加速（可能符合条件，未编码）</t>
        </is>
      </c>
      <c r="J14" s="10" t="inlineStr">
        <is>
          <t>L2</t>
        </is>
      </c>
      <c r="K14" s="10" t="inlineStr"/>
      <c r="L14" s="10" t="inlineStr"/>
      <c r="M14" s="12" t="inlineStr"/>
      <c r="N14" s="12" t="inlineStr"/>
      <c r="O14" s="12" t="inlineStr"/>
      <c r="P14" s="12" t="inlineStr"/>
      <c r="Q14" s="12" t="inlineStr"/>
      <c r="R14" s="12" t="inlineStr"/>
      <c r="S14" s="12" t="inlineStr"/>
    </row>
    <row r="15">
      <c r="A15" s="13" t="inlineStr">
        <is>
          <t>建议核</t>
        </is>
      </c>
      <c r="B15" s="10" t="inlineStr">
        <is>
          <t>CL013</t>
        </is>
      </c>
      <c r="C15" s="10" t="inlineStr">
        <is>
          <t>CRQ05</t>
        </is>
      </c>
      <c r="D15" s="10" t="inlineStr">
        <is>
          <t>Bryce Ford; Mrinal Kumar</t>
        </is>
      </c>
      <c r="E15" s="10" t="inlineStr">
        <is>
          <t>2024</t>
        </is>
      </c>
      <c r="F15" s="10" t="inlineStr">
        <is>
          <t>Analysis of Backtracking A* for Resource Constrained Shortest Path Problems</t>
        </is>
      </c>
      <c r="G15" s="10" t="inlineStr">
        <is>
          <t>2024 American Control Conference (ACC)</t>
        </is>
      </c>
      <c r="H15" s="10" t="inlineStr">
        <is>
          <t>10.23919/acc60939.2024.10644796</t>
        </is>
      </c>
      <c r="I15" s="10" t="inlineStr">
        <is>
          <t>RC：资源约束最短路研究，未说明与 CG 的接口</t>
        </is>
      </c>
      <c r="J15" s="10" t="inlineStr"/>
      <c r="K15" s="10" t="inlineStr"/>
      <c r="L15" s="10" t="inlineStr"/>
      <c r="M15" s="12" t="inlineStr"/>
      <c r="N15" s="12" t="inlineStr"/>
      <c r="O15" s="12" t="inlineStr"/>
      <c r="P15" s="12" t="inlineStr"/>
      <c r="Q15" s="12" t="inlineStr"/>
      <c r="R15" s="12" t="inlineStr"/>
      <c r="S15" s="12" t="inlineStr"/>
    </row>
    <row r="16">
      <c r="A16" s="13" t="inlineStr">
        <is>
          <t>建议核</t>
        </is>
      </c>
      <c r="B16" s="10" t="inlineStr">
        <is>
          <t>CL015</t>
        </is>
      </c>
      <c r="C16" s="10" t="inlineStr">
        <is>
          <t>CRQ05</t>
        </is>
      </c>
      <c r="D16" s="10" t="inlineStr">
        <is>
          <t>I. Dumitrescu; N. Boland</t>
        </is>
      </c>
      <c r="E16" s="10" t="inlineStr">
        <is>
          <t>2003</t>
        </is>
      </c>
      <c r="F16" s="10" t="inlineStr">
        <is>
          <t>Improved preprocessing, labeling and scaling algorithms for the Weight‐Constrained Shortest Path Problem</t>
        </is>
      </c>
      <c r="G16" s="10" t="inlineStr">
        <is>
          <t>Networks</t>
        </is>
      </c>
      <c r="H16" s="10" t="inlineStr">
        <is>
          <t>10.1002/net.10090</t>
        </is>
      </c>
      <c r="I16" s="10" t="inlineStr">
        <is>
          <t>RC：资源约束最短路研究，未说明与 CG 的接口</t>
        </is>
      </c>
      <c r="J16" s="10" t="inlineStr"/>
      <c r="K16" s="10" t="inlineStr"/>
      <c r="L16" s="10" t="inlineStr"/>
      <c r="M16" s="12" t="inlineStr"/>
      <c r="N16" s="12" t="inlineStr"/>
      <c r="O16" s="12" t="inlineStr"/>
      <c r="P16" s="12" t="inlineStr"/>
      <c r="Q16" s="12" t="inlineStr"/>
      <c r="R16" s="12" t="inlineStr"/>
      <c r="S16" s="12" t="inlineStr"/>
    </row>
    <row r="17" ht="60" customHeight="1">
      <c r="A17" s="13" t="inlineStr">
        <is>
          <t>建议核</t>
        </is>
      </c>
      <c r="B17" s="10" t="inlineStr">
        <is>
          <t>CL016</t>
        </is>
      </c>
      <c r="C17" s="10" t="inlineStr">
        <is>
          <t>CRQ05</t>
        </is>
      </c>
      <c r="D17" s="10" t="inlineStr">
        <is>
          <t>Min Wu; Qiang Long; Yu Wang; Yichao Chen; Md Tuhinur Rahman</t>
        </is>
      </c>
      <c r="E17" s="10" t="inlineStr">
        <is>
          <t>2023</t>
        </is>
      </c>
      <c r="F17" s="10" t="inlineStr">
        <is>
          <t>Shortest Path Problem for Resource-Constrained Project Scheduling Based on Deep Reinforcement Learning</t>
        </is>
      </c>
      <c r="G17" s="10" t="inlineStr">
        <is>
          <t>2023 2nd International Conference on Machine Learning, Cloud Computing and Intelligent Mining (MLCCIM)</t>
        </is>
      </c>
      <c r="H17" s="10" t="inlineStr">
        <is>
          <t>10.1109/mlccim60412.2023.00019</t>
        </is>
      </c>
      <c r="I17" s="10" t="inlineStr">
        <is>
          <t>RC：资源约束最短路研究，未说明与 CG 的接口</t>
        </is>
      </c>
      <c r="J17" s="10" t="inlineStr"/>
      <c r="K17" s="10" t="inlineStr"/>
      <c r="L17" s="10" t="inlineStr"/>
      <c r="M17" s="12" t="inlineStr"/>
      <c r="N17" s="12" t="str">
        <v>无法判断</v>
      </c>
      <c r="O17" s="12" t="inlineStr"/>
      <c r="P17" s="12" t="inlineStr"/>
      <c r="Q17" s="12" t="str">
        <v>D113 当前类别（标题层面，暂定）：未确定。暂不作为最终分类计数的定案依据。
D113 PDF 不适用（网页/元数据）；Crossref出版社注册标题；2026-10-15；https://api.crossref.org/works/10.1109/mlccim60412.2023.00019</v>
      </c>
      <c r="R17" s="12" t="str">
        <v>Codex（依据作者裁决）</v>
      </c>
      <c r="S17" s="12" t="str">
        <v>2026-10-15</v>
      </c>
    </row>
    <row r="18">
      <c r="A18" s="13" t="inlineStr">
        <is>
          <t>建议核</t>
        </is>
      </c>
      <c r="B18" s="10" t="inlineStr">
        <is>
          <t>CL017</t>
        </is>
      </c>
      <c r="C18" s="10" t="inlineStr">
        <is>
          <t>CRQ05</t>
        </is>
      </c>
      <c r="D18" s="10" t="inlineStr">
        <is>
          <t>J. E. Beasley; N. Christofides</t>
        </is>
      </c>
      <c r="E18" s="10" t="inlineStr">
        <is>
          <t>1989</t>
        </is>
      </c>
      <c r="F18" s="10" t="inlineStr">
        <is>
          <t>An algorithm for the resource constrained shortest path problem</t>
        </is>
      </c>
      <c r="G18" s="10" t="inlineStr">
        <is>
          <t>Networks</t>
        </is>
      </c>
      <c r="H18" s="10" t="inlineStr">
        <is>
          <t>10.1002/net.3230190402</t>
        </is>
      </c>
      <c r="I18" s="10" t="inlineStr">
        <is>
          <t>RC：资源约束最短路研究，未说明与 CG 的接口</t>
        </is>
      </c>
      <c r="J18" s="10" t="inlineStr"/>
      <c r="K18" s="10" t="inlineStr"/>
      <c r="L18" s="10" t="inlineStr"/>
      <c r="M18" s="12" t="inlineStr"/>
      <c r="N18" s="12" t="inlineStr"/>
      <c r="O18" s="12" t="inlineStr"/>
      <c r="P18" s="12" t="inlineStr"/>
      <c r="Q18" s="12" t="inlineStr"/>
      <c r="R18" s="12" t="inlineStr"/>
      <c r="S18" s="12" t="inlineStr"/>
    </row>
    <row r="19">
      <c r="A19" s="13" t="inlineStr">
        <is>
          <t>建议核</t>
        </is>
      </c>
      <c r="B19" s="10" t="inlineStr">
        <is>
          <t>CL018</t>
        </is>
      </c>
      <c r="C19" s="10" t="inlineStr">
        <is>
          <t>CRQ05</t>
        </is>
      </c>
      <c r="D19" s="10" t="inlineStr">
        <is>
          <t>Xuefeng Jin; Shunzheng Yu</t>
        </is>
      </c>
      <c r="E19" s="10" t="inlineStr">
        <is>
          <t>2024</t>
        </is>
      </c>
      <c r="F19" s="10" t="inlineStr">
        <is>
          <t>A two-stage method for doubly resource constrained elementary shortest path problems</t>
        </is>
      </c>
      <c r="G19" s="10" t="inlineStr">
        <is>
          <t>Knowledge-Based Systems</t>
        </is>
      </c>
      <c r="H19" s="10" t="inlineStr">
        <is>
          <t>10.1016/j.knosys.2024.111661</t>
        </is>
      </c>
      <c r="I19" s="10" t="inlineStr">
        <is>
          <t>RC：资源约束最短路研究，未说明与 CG 的接口</t>
        </is>
      </c>
      <c r="J19" s="10" t="inlineStr"/>
      <c r="K19" s="10" t="inlineStr"/>
      <c r="L19" s="10" t="inlineStr"/>
      <c r="M19" s="12" t="inlineStr"/>
      <c r="N19" s="12" t="inlineStr"/>
      <c r="O19" s="12" t="inlineStr"/>
      <c r="P19" s="12" t="inlineStr"/>
      <c r="Q19" s="12" t="inlineStr"/>
      <c r="R19" s="12" t="inlineStr"/>
      <c r="S19" s="12" t="inlineStr"/>
    </row>
    <row r="20">
      <c r="A20" s="13" t="inlineStr">
        <is>
          <t>建议核</t>
        </is>
      </c>
      <c r="B20" s="10" t="inlineStr">
        <is>
          <t>CL019</t>
        </is>
      </c>
      <c r="C20" s="10" t="inlineStr">
        <is>
          <t>CRQ05</t>
        </is>
      </c>
      <c r="D20" s="10" t="inlineStr">
        <is>
          <t>Ziyi Liu; Lei Li; Mengxuan Zhang; Wen Hua; Pingfu Chao; Xiaofang Zhou</t>
        </is>
      </c>
      <c r="E20" s="10" t="inlineStr">
        <is>
          <t>2021</t>
        </is>
      </c>
      <c r="F20" s="10" t="inlineStr">
        <is>
          <t>Efficient Constrained Shortest Path Query Answering with Forest Hop Labeling</t>
        </is>
      </c>
      <c r="G20" s="10" t="inlineStr">
        <is>
          <t>2021 IEEE 37th International Conference on Data Engineering (ICDE)</t>
        </is>
      </c>
      <c r="H20" s="10" t="inlineStr">
        <is>
          <t>10.1109/icde51399.2021.00155</t>
        </is>
      </c>
      <c r="I20" s="10" t="inlineStr">
        <is>
          <t>RC：资源约束最短路研究，未说明与 CG 的接口</t>
        </is>
      </c>
      <c r="J20" s="10" t="inlineStr"/>
      <c r="K20" s="10" t="inlineStr"/>
      <c r="L20" s="10" t="inlineStr"/>
      <c r="M20" s="12" t="inlineStr"/>
      <c r="N20" s="12" t="inlineStr"/>
      <c r="O20" s="12" t="inlineStr"/>
      <c r="P20" s="12" t="inlineStr"/>
      <c r="Q20" s="12" t="inlineStr"/>
      <c r="R20" s="12" t="inlineStr"/>
      <c r="S20" s="12" t="inlineStr"/>
    </row>
    <row r="21">
      <c r="A21" s="13" t="inlineStr">
        <is>
          <t>建议核</t>
        </is>
      </c>
      <c r="B21" s="10" t="inlineStr">
        <is>
          <t>CL020</t>
        </is>
      </c>
      <c r="C21" s="10" t="inlineStr">
        <is>
          <t>CRQ05</t>
        </is>
      </c>
      <c r="D21" s="10" t="inlineStr">
        <is>
          <t>Markó Horváth; Tamás Kis</t>
        </is>
      </c>
      <c r="E21" s="10" t="inlineStr">
        <is>
          <t>2016</t>
        </is>
      </c>
      <c r="F21" s="10" t="inlineStr">
        <is>
          <t>Solving resource constrained shortest path problems with LP-based methods</t>
        </is>
      </c>
      <c r="G21" s="10" t="inlineStr">
        <is>
          <t>Computers &amp; Operations Research</t>
        </is>
      </c>
      <c r="H21" s="10" t="inlineStr">
        <is>
          <t>10.1016/j.cor.2016.04.013</t>
        </is>
      </c>
      <c r="I21" s="10" t="inlineStr">
        <is>
          <t>RC：资源约束最短路研究，未说明与 CG 的接口</t>
        </is>
      </c>
      <c r="J21" s="10" t="inlineStr"/>
      <c r="K21" s="10" t="inlineStr"/>
      <c r="L21" s="10" t="inlineStr"/>
      <c r="M21" s="12" t="inlineStr"/>
      <c r="N21" s="12" t="inlineStr"/>
      <c r="O21" s="12" t="inlineStr"/>
      <c r="P21" s="12" t="inlineStr"/>
      <c r="Q21" s="12" t="inlineStr"/>
      <c r="R21" s="12" t="inlineStr"/>
      <c r="S21" s="12" t="inlineStr"/>
    </row>
    <row r="22">
      <c r="A22" s="13" t="inlineStr">
        <is>
          <t>建议核</t>
        </is>
      </c>
      <c r="B22" s="10" t="inlineStr">
        <is>
          <t>CL021</t>
        </is>
      </c>
      <c r="C22" s="10" t="inlineStr">
        <is>
          <t>CRQ05</t>
        </is>
      </c>
      <c r="D22" s="10" t="inlineStr">
        <is>
          <t>Markó Horváth; Tamás Kis</t>
        </is>
      </c>
      <c r="E22" s="10" t="inlineStr">
        <is>
          <t>2017</t>
        </is>
      </c>
      <c r="F22" s="10" t="inlineStr">
        <is>
          <t>Multi-criteria approximation schemes for the resource constrained shortest path problem</t>
        </is>
      </c>
      <c r="G22" s="10" t="inlineStr">
        <is>
          <t>Optimization Letters</t>
        </is>
      </c>
      <c r="H22" s="10" t="inlineStr">
        <is>
          <t>10.1007/s11590-017-1212-z</t>
        </is>
      </c>
      <c r="I22" s="10" t="inlineStr">
        <is>
          <t>RC：资源约束最短路研究，未说明与 CG 的接口</t>
        </is>
      </c>
      <c r="J22" s="10" t="inlineStr"/>
      <c r="K22" s="10" t="inlineStr"/>
      <c r="L22" s="10" t="inlineStr"/>
      <c r="M22" s="12" t="inlineStr"/>
      <c r="N22" s="12" t="inlineStr"/>
      <c r="O22" s="12" t="inlineStr"/>
      <c r="P22" s="12" t="inlineStr"/>
      <c r="Q22" s="12" t="inlineStr"/>
      <c r="R22" s="12" t="inlineStr"/>
      <c r="S22" s="12" t="inlineStr"/>
    </row>
    <row r="23">
      <c r="A23" s="13" t="inlineStr">
        <is>
          <t>建议核</t>
        </is>
      </c>
      <c r="B23" s="10" t="inlineStr">
        <is>
          <t>CL022</t>
        </is>
      </c>
      <c r="C23" s="10" t="inlineStr">
        <is>
          <t>CRQ05</t>
        </is>
      </c>
      <c r="D23" s="10" t="inlineStr">
        <is>
          <t>Aleksandr A. Soldatenko</t>
        </is>
      </c>
      <c r="E23" s="10" t="inlineStr">
        <is>
          <t>2019</t>
        </is>
      </c>
      <c r="F23" s="10" t="inlineStr">
        <is>
          <t>On Accuracy of Approximation for the Resource Constrained Shortest Path Problem</t>
        </is>
      </c>
      <c r="G23" s="10" t="inlineStr">
        <is>
          <t>Journal of Siberian Federal University. Mathematics &amp; Physics</t>
        </is>
      </c>
      <c r="H23" s="10" t="inlineStr">
        <is>
          <t>10.17516/1997-1397-2019-12-5-621-627</t>
        </is>
      </c>
      <c r="I23" s="10" t="inlineStr">
        <is>
          <t>RC：资源约束最短路研究，未说明与 CG 的接口</t>
        </is>
      </c>
      <c r="J23" s="10" t="inlineStr"/>
      <c r="K23" s="10" t="inlineStr"/>
      <c r="L23" s="10" t="inlineStr"/>
      <c r="M23" s="12" t="inlineStr"/>
      <c r="N23" s="12" t="inlineStr"/>
      <c r="O23" s="12" t="inlineStr"/>
      <c r="P23" s="12" t="inlineStr"/>
      <c r="Q23" s="12" t="inlineStr"/>
      <c r="R23" s="12" t="inlineStr"/>
      <c r="S23" s="12" t="inlineStr"/>
    </row>
    <row r="24" ht="60" customHeight="1">
      <c r="A24" s="13" t="inlineStr">
        <is>
          <t>建议核</t>
        </is>
      </c>
      <c r="B24" s="10" t="inlineStr">
        <is>
          <t>CL023</t>
        </is>
      </c>
      <c r="C24" s="10" t="inlineStr">
        <is>
          <t>CRQ05</t>
        </is>
      </c>
      <c r="D24" s="10" t="inlineStr">
        <is>
          <t>Isik Bicer; Taner Bilgic</t>
        </is>
      </c>
      <c r="E24" s="10" t="inlineStr">
        <is>
          <t>2010</t>
        </is>
      </c>
      <c r="F24" s="10" t="inlineStr">
        <is>
          <t>Improvements in solving resource constrained shortest path problems in column generation context</t>
        </is>
      </c>
      <c r="G24" s="10" t="inlineStr">
        <is>
          <t>2010 IEEE 17Th International Conference on Industrial Engineering and Engineering Management</t>
        </is>
      </c>
      <c r="H24" s="10" t="inlineStr">
        <is>
          <t>10.1109/icieem.2010.5646531</t>
        </is>
      </c>
      <c r="I24" s="10" t="inlineStr">
        <is>
          <t>CA：L1–L6 层的经典加速（可能符合条件，未编码）</t>
        </is>
      </c>
      <c r="J24" s="10" t="inlineStr">
        <is>
          <t>L4, L5</t>
        </is>
      </c>
      <c r="K24" s="10" t="inlineStr"/>
      <c r="L24" s="10" t="inlineStr"/>
      <c r="M24" s="12" t="inlineStr"/>
      <c r="N24" s="12" t="str">
        <v>无法判断</v>
      </c>
      <c r="O24" s="12" t="inlineStr"/>
      <c r="P24" s="12" t="inlineStr"/>
      <c r="Q24" s="12" t="str">
        <v>D118 可能的层（仅 CA）：未确定。暂不作为最终分类计数的定案依据。
D118 PDF 不适用（网页/元数据）；Crossref出版社注册标题；2026-10-15；https://api.crossref.org/works/10.1109/icieem.2010.5646531</v>
      </c>
      <c r="R24" s="12" t="str">
        <v>Codex（依据作者裁决）</v>
      </c>
      <c r="S24" s="12" t="str">
        <v>2026-10-15</v>
      </c>
    </row>
    <row r="25" ht="62" customHeight="1">
      <c r="A25" s="13" t="inlineStr">
        <is>
          <t>建议核</t>
        </is>
      </c>
      <c r="B25" s="10" t="inlineStr">
        <is>
          <t>CL024</t>
        </is>
      </c>
      <c r="C25" s="10" t="inlineStr">
        <is>
          <t>CRQ05</t>
        </is>
      </c>
      <c r="D25" s="10" t="inlineStr">
        <is>
          <t>David Sanchez</t>
        </is>
      </c>
      <c r="E25" s="10" t="inlineStr">
        <is>
          <t>2020</t>
        </is>
      </c>
      <c r="F25" s="10" t="inlineStr">
        <is>
          <t>cspy: A Python package with a collection of algorithms for the (Resource) Constrained Shortest Path problem</t>
        </is>
      </c>
      <c r="G25" s="10" t="inlineStr">
        <is>
          <t>Journal of Open Source Software</t>
        </is>
      </c>
      <c r="H25" s="10" t="inlineStr">
        <is>
          <t>10.21105/joss.01655</t>
        </is>
      </c>
      <c r="I25" s="10" t="inlineStr">
        <is>
          <t>RC：资源约束最短路研究，未说明与 CG 的接口</t>
        </is>
      </c>
      <c r="J25" s="10" t="inlineStr"/>
      <c r="K25" s="10" t="inlineStr"/>
      <c r="L25" s="10" t="inlineStr"/>
      <c r="M25" s="12" t="inlineStr"/>
      <c r="N25" s="12" t="str">
        <v>否</v>
      </c>
      <c r="O25" s="12" t="inlineStr"/>
      <c r="P25" s="12" t="inlineStr"/>
      <c r="Q25" s="12" t="str">
        <v>D034 当前类别（标题层面，暂定）：撤销“未说明与 CG 的接口”的理由；最终类别未确定（软件背景或 CA 候选）。
D034 PDF 2（在线原文PDF）；Crossref出版社注册标题；2026-10-15；https://api.crossref.org/works/10.21105/joss.01655；另核原作者出版社页面/正文</v>
      </c>
      <c r="R25" s="12" t="str">
        <v>Codex（依据作者裁决）</v>
      </c>
      <c r="S25" s="12" t="str">
        <v>2026-10-15</v>
      </c>
    </row>
    <row r="26">
      <c r="A26" s="13" t="inlineStr">
        <is>
          <t>建议核</t>
        </is>
      </c>
      <c r="B26" s="10" t="inlineStr">
        <is>
          <t>CL025</t>
        </is>
      </c>
      <c r="C26" s="10" t="inlineStr">
        <is>
          <t>CRQ05</t>
        </is>
      </c>
      <c r="D26" s="10" t="inlineStr">
        <is>
          <t>Axel Parmentier</t>
        </is>
      </c>
      <c r="E26" s="10" t="inlineStr">
        <is>
          <t>2018</t>
        </is>
      </c>
      <c r="F26" s="10" t="inlineStr">
        <is>
          <t>Algorithms for non-linear and stochastic resource constrained shortest path</t>
        </is>
      </c>
      <c r="G26" s="10" t="inlineStr">
        <is>
          <t>Mathematical Methods of Operations Research</t>
        </is>
      </c>
      <c r="H26" s="10" t="inlineStr">
        <is>
          <t>10.1007/s00186-018-0649-x</t>
        </is>
      </c>
      <c r="I26" s="10" t="inlineStr">
        <is>
          <t>RC：资源约束最短路研究，未说明与 CG 的接口</t>
        </is>
      </c>
      <c r="J26" s="10" t="inlineStr"/>
      <c r="K26" s="10" t="inlineStr"/>
      <c r="L26" s="10" t="inlineStr"/>
      <c r="M26" s="12" t="inlineStr"/>
      <c r="N26" s="12" t="inlineStr"/>
      <c r="O26" s="12" t="inlineStr"/>
      <c r="P26" s="12" t="inlineStr"/>
      <c r="Q26" s="12" t="inlineStr"/>
      <c r="R26" s="12" t="inlineStr"/>
      <c r="S26" s="12" t="inlineStr"/>
    </row>
    <row r="27">
      <c r="A27" s="13" t="inlineStr">
        <is>
          <t>建议核</t>
        </is>
      </c>
      <c r="B27" s="10" t="inlineStr">
        <is>
          <t>CL027</t>
        </is>
      </c>
      <c r="C27" s="10" t="inlineStr">
        <is>
          <t>CRQ05</t>
        </is>
      </c>
      <c r="D27" s="10" t="inlineStr">
        <is>
          <t>Luigi Di Puglia Pugliese; Francesca Guerriero</t>
        </is>
      </c>
      <c r="E27" s="10" t="inlineStr">
        <is>
          <t>2013</t>
        </is>
      </c>
      <c r="F27" s="10" t="inlineStr">
        <is>
          <t>A Reference Point Approach for the Resource Constrained Shortest Path Problems</t>
        </is>
      </c>
      <c r="G27" s="10" t="inlineStr">
        <is>
          <t>Transportation Science</t>
        </is>
      </c>
      <c r="H27" s="10" t="inlineStr">
        <is>
          <t>10.1287/trsc.1120.0418</t>
        </is>
      </c>
      <c r="I27" s="10" t="inlineStr">
        <is>
          <t>RC：资源约束最短路研究，未说明与 CG 的接口</t>
        </is>
      </c>
      <c r="J27" s="10" t="inlineStr"/>
      <c r="K27" s="10" t="inlineStr"/>
      <c r="L27" s="10" t="inlineStr"/>
      <c r="M27" s="12" t="inlineStr"/>
      <c r="N27" s="12" t="inlineStr"/>
      <c r="O27" s="12" t="inlineStr"/>
      <c r="P27" s="12" t="inlineStr"/>
      <c r="Q27" s="12" t="inlineStr"/>
      <c r="R27" s="12" t="inlineStr"/>
      <c r="S27" s="12" t="inlineStr"/>
    </row>
    <row r="28">
      <c r="A28" s="13" t="inlineStr">
        <is>
          <t>建议核</t>
        </is>
      </c>
      <c r="B28" s="10" t="inlineStr">
        <is>
          <t>CL028</t>
        </is>
      </c>
      <c r="C28" s="10" t="inlineStr">
        <is>
          <t>CRQ05</t>
        </is>
      </c>
      <c r="D28" s="10" t="inlineStr">
        <is>
          <t>Tai-Yu Ma</t>
        </is>
      </c>
      <c r="E28" s="10" t="inlineStr">
        <is>
          <t>2014</t>
        </is>
      </c>
      <c r="F28" s="10" t="inlineStr">
        <is>
          <t>An A* Label-setting Algorithm for Multimodal Resource Constrained Shortest Path Problem</t>
        </is>
      </c>
      <c r="G28" s="10" t="inlineStr">
        <is>
          <t>Procedia - Social and Behavioral Sciences</t>
        </is>
      </c>
      <c r="H28" s="10" t="inlineStr">
        <is>
          <t>10.1016/j.sbspro.2014.01.066</t>
        </is>
      </c>
      <c r="I28" s="10" t="inlineStr">
        <is>
          <t>RC：资源约束最短路研究，未说明与 CG 的接口</t>
        </is>
      </c>
      <c r="J28" s="10" t="inlineStr"/>
      <c r="K28" s="10" t="inlineStr"/>
      <c r="L28" s="10" t="inlineStr"/>
      <c r="M28" s="12" t="inlineStr"/>
      <c r="N28" s="12" t="inlineStr"/>
      <c r="O28" s="12" t="inlineStr"/>
      <c r="P28" s="12" t="inlineStr"/>
      <c r="Q28" s="12" t="inlineStr"/>
      <c r="R28" s="12" t="inlineStr"/>
      <c r="S28" s="12" t="inlineStr"/>
    </row>
    <row r="29">
      <c r="A29" s="13" t="inlineStr">
        <is>
          <t>建议核</t>
        </is>
      </c>
      <c r="B29" s="10" t="inlineStr">
        <is>
          <t>CL029</t>
        </is>
      </c>
      <c r="C29" s="10" t="inlineStr">
        <is>
          <t>CRQ06</t>
        </is>
      </c>
      <c r="D29" s="10" t="inlineStr">
        <is>
          <t>Christos Gogos; Christos Valouxis; Panayiotis Alefragis; George Goulas; Nikolaos Voros; Efthymios Housos</t>
        </is>
      </c>
      <c r="E29" s="10" t="inlineStr">
        <is>
          <t>2016</t>
        </is>
      </c>
      <c r="F29" s="10" t="inlineStr">
        <is>
          <t>Scheduling independent tasks on heterogeneous processors using heuristics and Column Pricing</t>
        </is>
      </c>
      <c r="G29" s="10" t="inlineStr">
        <is>
          <t>Future Generation Computer Systems</t>
        </is>
      </c>
      <c r="H29" s="10" t="inlineStr">
        <is>
          <t>10.1016/j.future.2016.01.016</t>
        </is>
      </c>
      <c r="I29" s="10" t="inlineStr">
        <is>
          <t>AP：CG/B&amp;P 应用或建模，没有单独评估的加速</t>
        </is>
      </c>
      <c r="J29" s="10" t="inlineStr"/>
      <c r="K29" s="10" t="inlineStr"/>
      <c r="L29" s="10" t="inlineStr"/>
      <c r="M29" s="12" t="inlineStr"/>
      <c r="N29" s="12" t="inlineStr"/>
      <c r="O29" s="12" t="inlineStr"/>
      <c r="P29" s="12" t="inlineStr"/>
      <c r="Q29" s="12" t="inlineStr"/>
      <c r="R29" s="12" t="inlineStr"/>
      <c r="S29" s="12" t="inlineStr"/>
    </row>
    <row r="30">
      <c r="A30" s="13" t="inlineStr">
        <is>
          <t>建议核</t>
        </is>
      </c>
      <c r="B30" s="10" t="inlineStr">
        <is>
          <t>CL030</t>
        </is>
      </c>
      <c r="C30" s="10" t="inlineStr">
        <is>
          <t>CRQ10</t>
        </is>
      </c>
      <c r="D30" s="10" t="inlineStr">
        <is>
          <t>Martin Desrochers; François Soumis</t>
        </is>
      </c>
      <c r="E30" s="10" t="inlineStr">
        <is>
          <t>1988</t>
        </is>
      </c>
      <c r="F30" s="10" t="inlineStr">
        <is>
          <t>CREW-OPT: Crew Scheduling by Column Generation (Extended abstract)</t>
        </is>
      </c>
      <c r="G30" s="10" t="inlineStr">
        <is>
          <t>Computer-Aided Transit Scheduling</t>
        </is>
      </c>
      <c r="H30" s="10" t="inlineStr">
        <is>
          <t>10.1007/978-3-642-85966-3_8</t>
        </is>
      </c>
      <c r="I30" s="10" t="inlineStr">
        <is>
          <t>AP：CG/B&amp;P 应用或建模，没有单独评估的加速</t>
        </is>
      </c>
      <c r="J30" s="10" t="inlineStr"/>
      <c r="K30" s="10" t="inlineStr"/>
      <c r="L30" s="10" t="inlineStr"/>
      <c r="M30" s="12" t="inlineStr"/>
      <c r="N30" s="12" t="inlineStr"/>
      <c r="O30" s="12" t="inlineStr"/>
      <c r="P30" s="12" t="inlineStr"/>
      <c r="Q30" s="12" t="inlineStr"/>
      <c r="R30" s="12" t="inlineStr"/>
      <c r="S30" s="12" t="inlineStr"/>
    </row>
    <row r="31">
      <c r="A31" s="13" t="inlineStr">
        <is>
          <t>建议核</t>
        </is>
      </c>
      <c r="B31" s="10" t="inlineStr">
        <is>
          <t>CL031</t>
        </is>
      </c>
      <c r="C31" s="10" t="inlineStr">
        <is>
          <t>CRQ06</t>
        </is>
      </c>
      <c r="D31" s="10" t="inlineStr">
        <is>
          <t>Sylvie Gélinas; François Soumis</t>
        </is>
      </c>
      <c r="E31" s="10" t="inlineStr">
        <is>
          <t>2005</t>
        </is>
      </c>
      <c r="F31" s="10" t="inlineStr">
        <is>
          <t>Dantzig-Wolfe Decomposition for Job Shop Scheduling</t>
        </is>
      </c>
      <c r="G31" s="10" t="inlineStr">
        <is>
          <t>Column Generation</t>
        </is>
      </c>
      <c r="H31" s="10" t="inlineStr">
        <is>
          <t>10.1007/0-387-25486-2_10</t>
        </is>
      </c>
      <c r="I31" s="10" t="inlineStr">
        <is>
          <t>AP：CG/B&amp;P 应用或建模，没有单独评估的加速</t>
        </is>
      </c>
      <c r="J31" s="10" t="inlineStr"/>
      <c r="K31" s="10" t="inlineStr"/>
      <c r="L31" s="10" t="inlineStr"/>
      <c r="M31" s="12" t="inlineStr"/>
      <c r="N31" s="12" t="inlineStr"/>
      <c r="O31" s="12" t="inlineStr"/>
      <c r="P31" s="12" t="inlineStr"/>
      <c r="Q31" s="12" t="inlineStr"/>
      <c r="R31" s="12" t="inlineStr"/>
      <c r="S31" s="12" t="inlineStr"/>
    </row>
    <row r="32">
      <c r="A32" s="13" t="inlineStr">
        <is>
          <t>建议核</t>
        </is>
      </c>
      <c r="B32" s="10" t="inlineStr">
        <is>
          <t>CL032</t>
        </is>
      </c>
      <c r="C32" s="10" t="inlineStr">
        <is>
          <t>CRQ06</t>
        </is>
      </c>
      <c r="D32" s="10" t="inlineStr">
        <is>
          <t>Shen Yindong; Ni Yudong</t>
        </is>
      </c>
      <c r="E32" s="10" t="inlineStr">
        <is>
          <t>2008</t>
        </is>
      </c>
      <c r="F32" s="10" t="inlineStr">
        <is>
          <t>Column generation approaches to large driver scheduling problems</t>
        </is>
      </c>
      <c r="G32" s="10" t="inlineStr">
        <is>
          <t>2008 27th Chinese Control Conference</t>
        </is>
      </c>
      <c r="H32" s="10" t="inlineStr">
        <is>
          <t>10.1109/chicc.2008.4605141</t>
        </is>
      </c>
      <c r="I32" s="10" t="inlineStr">
        <is>
          <t>AP：CG/B&amp;P 应用或建模，没有单独评估的加速</t>
        </is>
      </c>
      <c r="J32" s="10" t="inlineStr"/>
      <c r="K32" s="10" t="inlineStr"/>
      <c r="L32" s="10" t="inlineStr"/>
      <c r="M32" s="12" t="inlineStr"/>
      <c r="N32" s="12" t="inlineStr"/>
      <c r="O32" s="12" t="inlineStr"/>
      <c r="P32" s="12" t="inlineStr"/>
      <c r="Q32" s="12" t="inlineStr"/>
      <c r="R32" s="12" t="inlineStr"/>
      <c r="S32" s="12" t="inlineStr"/>
    </row>
    <row r="33">
      <c r="A33" s="13" t="inlineStr">
        <is>
          <t>建议核</t>
        </is>
      </c>
      <c r="B33" s="10" t="inlineStr">
        <is>
          <t>CL033</t>
        </is>
      </c>
      <c r="C33" s="10" t="inlineStr">
        <is>
          <t>CRQ06</t>
        </is>
      </c>
      <c r="D33" s="10" t="inlineStr">
        <is>
          <t>Karla Hoffman</t>
        </is>
      </c>
      <c r="E33" s="10" t="inlineStr">
        <is>
          <t>2002</t>
        </is>
      </c>
      <c r="F33" s="10" t="inlineStr">
        <is>
          <t>Real Time Scheduling and Routing: Using Column Generation, Branch-and-Cut, and Modern Heuristics to Solve Difficult Combinatorial Optimizational Problems</t>
        </is>
      </c>
      <c r="G33" s="10" t="inlineStr"/>
      <c r="H33" s="10" t="inlineStr">
        <is>
          <t>10.21236/ada422267</t>
        </is>
      </c>
      <c r="I33" s="10" t="inlineStr">
        <is>
          <t>AP：CG/B&amp;P 应用或建模，没有单独评估的加速</t>
        </is>
      </c>
      <c r="J33" s="10" t="inlineStr"/>
      <c r="K33" s="10" t="inlineStr"/>
      <c r="L33" s="10" t="inlineStr"/>
      <c r="M33" s="12" t="inlineStr"/>
      <c r="N33" s="12" t="inlineStr"/>
      <c r="O33" s="12" t="inlineStr"/>
      <c r="P33" s="12" t="inlineStr"/>
      <c r="Q33" s="12" t="inlineStr"/>
      <c r="R33" s="12" t="inlineStr"/>
      <c r="S33" s="12" t="inlineStr"/>
    </row>
    <row r="34">
      <c r="A34" s="13" t="inlineStr">
        <is>
          <t>建议核</t>
        </is>
      </c>
      <c r="B34" s="10" t="inlineStr">
        <is>
          <t>CL034</t>
        </is>
      </c>
      <c r="C34" s="10" t="inlineStr">
        <is>
          <t>CRQ06</t>
        </is>
      </c>
      <c r="D34" s="10" t="inlineStr">
        <is>
          <t>Eduardo Camponogara; Agustinho Plucenio</t>
        </is>
      </c>
      <c r="E34" s="10" t="inlineStr">
        <is>
          <t>2008</t>
        </is>
      </c>
      <c r="F34" s="10" t="inlineStr">
        <is>
          <t>Column generation for solving a compressor scheduling problem</t>
        </is>
      </c>
      <c r="G34" s="10" t="inlineStr">
        <is>
          <t>2008 IEEE International Conference on Automation Science and Engineering</t>
        </is>
      </c>
      <c r="H34" s="10" t="inlineStr">
        <is>
          <t>10.1109/coase.2008.4626473</t>
        </is>
      </c>
      <c r="I34" s="10" t="inlineStr">
        <is>
          <t>AP：CG/B&amp;P 应用或建模，没有单独评估的加速</t>
        </is>
      </c>
      <c r="J34" s="10" t="inlineStr"/>
      <c r="K34" s="10" t="inlineStr"/>
      <c r="L34" s="10" t="inlineStr"/>
      <c r="M34" s="12" t="inlineStr"/>
      <c r="N34" s="12" t="inlineStr"/>
      <c r="O34" s="12" t="inlineStr"/>
      <c r="P34" s="12" t="inlineStr"/>
      <c r="Q34" s="12" t="inlineStr"/>
      <c r="R34" s="12" t="inlineStr"/>
      <c r="S34" s="12" t="inlineStr"/>
    </row>
    <row r="35">
      <c r="A35" s="13" t="inlineStr">
        <is>
          <t>建议核</t>
        </is>
      </c>
      <c r="B35" s="10" t="inlineStr">
        <is>
          <t>CL035</t>
        </is>
      </c>
      <c r="C35" s="10" t="inlineStr">
        <is>
          <t>CRQ06</t>
        </is>
      </c>
      <c r="D35" s="10" t="inlineStr">
        <is>
          <t>Sarah Fores; Les Proll; Anthony Wren</t>
        </is>
      </c>
      <c r="E35" s="10" t="inlineStr">
        <is>
          <t>1999</t>
        </is>
      </c>
      <c r="F35" s="10" t="inlineStr">
        <is>
          <t>A Column Generation Approach to Bus Driver Scheduling</t>
        </is>
      </c>
      <c r="G35" s="10" t="inlineStr">
        <is>
          <t>Transportation Networks: Recent Methodological Advances</t>
        </is>
      </c>
      <c r="H35" s="10" t="inlineStr">
        <is>
          <t>10.1016/b978-008043052-2/50012-3</t>
        </is>
      </c>
      <c r="I35" s="10" t="inlineStr">
        <is>
          <t>AP：CG/B&amp;P 应用或建模，没有单独评估的加速</t>
        </is>
      </c>
      <c r="J35" s="10" t="inlineStr"/>
      <c r="K35" s="10" t="inlineStr"/>
      <c r="L35" s="10" t="inlineStr"/>
      <c r="M35" s="12" t="inlineStr"/>
      <c r="N35" s="12" t="inlineStr"/>
      <c r="O35" s="12" t="inlineStr"/>
      <c r="P35" s="12" t="inlineStr"/>
      <c r="Q35" s="12" t="inlineStr"/>
      <c r="R35" s="12" t="inlineStr"/>
      <c r="S35" s="12" t="inlineStr"/>
    </row>
    <row r="36">
      <c r="A36" s="13" t="inlineStr">
        <is>
          <t>建议核</t>
        </is>
      </c>
      <c r="B36" s="10" t="inlineStr">
        <is>
          <t>CL036</t>
        </is>
      </c>
      <c r="C36" s="10" t="inlineStr">
        <is>
          <t>CRQ06</t>
        </is>
      </c>
      <c r="D36" s="10" t="inlineStr">
        <is>
          <t>Shuqin Li; Shuai Jia</t>
        </is>
      </c>
      <c r="E36" s="10" t="inlineStr">
        <is>
          <t>2019</t>
        </is>
      </c>
      <c r="F36" s="10" t="inlineStr">
        <is>
          <t>The Seaport Traffic Scheduling Problem: Formulations and a Column-Row Generation Algorithm</t>
        </is>
      </c>
      <c r="G36" s="10" t="inlineStr">
        <is>
          <t>SSRN Electronic Journal</t>
        </is>
      </c>
      <c r="H36" s="10" t="inlineStr">
        <is>
          <t>10.2139/ssrn.3431604</t>
        </is>
      </c>
      <c r="I36" s="10" t="inlineStr">
        <is>
          <t>AP：CG/B&amp;P 应用或建模，没有单独评估的加速</t>
        </is>
      </c>
      <c r="J36" s="10" t="inlineStr"/>
      <c r="K36" s="10" t="inlineStr"/>
      <c r="L36" s="10" t="inlineStr"/>
      <c r="M36" s="12" t="inlineStr"/>
      <c r="N36" s="12" t="inlineStr"/>
      <c r="O36" s="12" t="inlineStr"/>
      <c r="P36" s="12" t="inlineStr"/>
      <c r="Q36" s="12" t="inlineStr"/>
      <c r="R36" s="12" t="inlineStr"/>
      <c r="S36" s="12" t="inlineStr"/>
    </row>
    <row r="37">
      <c r="A37" s="13" t="inlineStr">
        <is>
          <t>建议核</t>
        </is>
      </c>
      <c r="B37" s="10" t="inlineStr">
        <is>
          <t>CL037</t>
        </is>
      </c>
      <c r="C37" s="10" t="inlineStr">
        <is>
          <t>CRQ06</t>
        </is>
      </c>
      <c r="D37" s="10" t="inlineStr">
        <is>
          <t>Ali Amiri; Reza Barkhi</t>
        </is>
      </c>
      <c r="E37" s="10" t="inlineStr">
        <is>
          <t>2025</t>
        </is>
      </c>
      <c r="F37" s="10" t="inlineStr">
        <is>
          <t>Scheduling web banner advertisements with conflicts and time windows: a column generation-based solution approach</t>
        </is>
      </c>
      <c r="G37" s="10" t="inlineStr">
        <is>
          <t>Journal of Scheduling</t>
        </is>
      </c>
      <c r="H37" s="10" t="inlineStr">
        <is>
          <t>10.1007/s10951-025-00852-1</t>
        </is>
      </c>
      <c r="I37" s="10" t="inlineStr">
        <is>
          <t>AP：CG/B&amp;P 应用或建模，没有单独评估的加速</t>
        </is>
      </c>
      <c r="J37" s="10" t="inlineStr"/>
      <c r="K37" s="10" t="inlineStr"/>
      <c r="L37" s="10" t="inlineStr"/>
      <c r="M37" s="12" t="inlineStr"/>
      <c r="N37" s="12" t="inlineStr"/>
      <c r="O37" s="12" t="inlineStr"/>
      <c r="P37" s="12" t="inlineStr"/>
      <c r="Q37" s="12" t="inlineStr"/>
      <c r="R37" s="12" t="inlineStr"/>
      <c r="S37" s="12" t="inlineStr"/>
    </row>
    <row r="38">
      <c r="A38" s="13" t="inlineStr">
        <is>
          <t>建议核</t>
        </is>
      </c>
      <c r="B38" s="10" t="inlineStr">
        <is>
          <t>CL038</t>
        </is>
      </c>
      <c r="C38" s="10" t="inlineStr">
        <is>
          <t>CRQ06</t>
        </is>
      </c>
      <c r="D38" s="10" t="inlineStr">
        <is>
          <t>Daniela Lubke; Ricardo Fukasawa; Luis Ricardez-Sandoval</t>
        </is>
      </c>
      <c r="E38" s="10" t="inlineStr">
        <is>
          <t>2024</t>
        </is>
      </c>
      <c r="F38" s="10" t="inlineStr">
        <is>
          <t>Integration of Machine Scheduling and Personnel Allocation for an Industrial-Scale Analytical Services Facility Using Column Generation</t>
        </is>
      </c>
      <c r="G38" s="10" t="inlineStr"/>
      <c r="H38" s="10" t="inlineStr">
        <is>
          <t>10.2139/ssrn.4972032</t>
        </is>
      </c>
      <c r="I38" s="10" t="inlineStr">
        <is>
          <t>AP：CG/B&amp;P 应用或建模，没有单独评估的加速</t>
        </is>
      </c>
      <c r="J38" s="10" t="inlineStr"/>
      <c r="K38" s="10" t="inlineStr"/>
      <c r="L38" s="10" t="inlineStr"/>
      <c r="M38" s="12" t="inlineStr"/>
      <c r="N38" s="12" t="inlineStr"/>
      <c r="O38" s="12" t="inlineStr"/>
      <c r="P38" s="12" t="inlineStr"/>
      <c r="Q38" s="12" t="inlineStr"/>
      <c r="R38" s="12" t="inlineStr"/>
      <c r="S38" s="12" t="inlineStr"/>
    </row>
    <row r="39">
      <c r="A39" s="13" t="inlineStr">
        <is>
          <t>建议核</t>
        </is>
      </c>
      <c r="B39" s="10" t="inlineStr">
        <is>
          <t>CL039</t>
        </is>
      </c>
      <c r="C39" s="10" t="inlineStr">
        <is>
          <t>CRQ06</t>
        </is>
      </c>
      <c r="D39" s="10" t="inlineStr">
        <is>
          <t>Leif H. Appelgren</t>
        </is>
      </c>
      <c r="E39" s="10" t="inlineStr">
        <is>
          <t>1969</t>
        </is>
      </c>
      <c r="F39" s="10" t="inlineStr">
        <is>
          <t>A Column Generation Algorithm for a Ship Scheduling Problem</t>
        </is>
      </c>
      <c r="G39" s="10" t="inlineStr">
        <is>
          <t>Transportation Science</t>
        </is>
      </c>
      <c r="H39" s="10" t="inlineStr">
        <is>
          <t>10.1287/trsc.3.1.53</t>
        </is>
      </c>
      <c r="I39" s="10" t="inlineStr">
        <is>
          <t>AP：CG/B&amp;P 应用或建模，没有单独评估的加速</t>
        </is>
      </c>
      <c r="J39" s="10" t="inlineStr"/>
      <c r="K39" s="10" t="inlineStr"/>
      <c r="L39" s="10" t="inlineStr"/>
      <c r="M39" s="12" t="inlineStr"/>
      <c r="N39" s="12" t="inlineStr"/>
      <c r="O39" s="12" t="inlineStr"/>
      <c r="P39" s="12" t="inlineStr"/>
      <c r="Q39" s="12" t="inlineStr"/>
      <c r="R39" s="12" t="inlineStr"/>
      <c r="S39" s="12" t="inlineStr"/>
    </row>
    <row r="40">
      <c r="A40" s="13" t="inlineStr">
        <is>
          <t>建议核</t>
        </is>
      </c>
      <c r="B40" s="10" t="inlineStr">
        <is>
          <t>CL040</t>
        </is>
      </c>
      <c r="C40" s="10" t="inlineStr">
        <is>
          <t>CRQ06</t>
        </is>
      </c>
      <c r="D40" s="10" t="inlineStr">
        <is>
          <t>Gongshu Wang; Lixin Tang</t>
        </is>
      </c>
      <c r="E40" s="10" t="inlineStr">
        <is>
          <t>2007</t>
        </is>
      </c>
      <c r="F40" s="10" t="inlineStr">
        <is>
          <t>A Column Generation for Locomotive Scheduling Problem in Molten Iron Transportation</t>
        </is>
      </c>
      <c r="G40" s="10" t="inlineStr">
        <is>
          <t>2007 IEEE International Conference on Automation and Logistics</t>
        </is>
      </c>
      <c r="H40" s="10" t="inlineStr">
        <is>
          <t>10.1109/ical.2007.4338946</t>
        </is>
      </c>
      <c r="I40" s="10" t="inlineStr">
        <is>
          <t>AP：CG/B&amp;P 应用或建模，没有单独评估的加速</t>
        </is>
      </c>
      <c r="J40" s="10" t="inlineStr"/>
      <c r="K40" s="10" t="inlineStr"/>
      <c r="L40" s="10" t="inlineStr"/>
      <c r="M40" s="12" t="inlineStr"/>
      <c r="N40" s="12" t="inlineStr"/>
      <c r="O40" s="12" t="inlineStr"/>
      <c r="P40" s="12" t="inlineStr"/>
      <c r="Q40" s="12" t="inlineStr"/>
      <c r="R40" s="12" t="inlineStr"/>
      <c r="S40" s="12" t="inlineStr"/>
    </row>
    <row r="41">
      <c r="A41" s="13" t="inlineStr">
        <is>
          <t>建议核</t>
        </is>
      </c>
      <c r="B41" s="10" t="inlineStr">
        <is>
          <t>CL041</t>
        </is>
      </c>
      <c r="C41" s="10" t="inlineStr">
        <is>
          <t>CRQ06</t>
        </is>
      </c>
      <c r="D41" s="10" t="inlineStr">
        <is>
          <t>Harish C. Bahl</t>
        </is>
      </c>
      <c r="E41" s="10" t="inlineStr">
        <is>
          <t>1983</t>
        </is>
      </c>
      <c r="F41" s="10" t="inlineStr">
        <is>
          <t>Column Generation Based Heuristic Algorithm for Multi-Item Scheduling</t>
        </is>
      </c>
      <c r="G41" s="10" t="inlineStr">
        <is>
          <t>IIE Transactions</t>
        </is>
      </c>
      <c r="H41" s="10" t="inlineStr">
        <is>
          <t>10.1080/05695558308974624</t>
        </is>
      </c>
      <c r="I41" s="10" t="inlineStr">
        <is>
          <t>AP：CG/B&amp;P 应用或建模，没有单独评估的加速</t>
        </is>
      </c>
      <c r="J41" s="10" t="inlineStr"/>
      <c r="K41" s="10" t="inlineStr"/>
      <c r="L41" s="10" t="inlineStr"/>
      <c r="M41" s="12" t="inlineStr"/>
      <c r="N41" s="12" t="inlineStr"/>
      <c r="O41" s="12" t="inlineStr"/>
      <c r="P41" s="12" t="inlineStr"/>
      <c r="Q41" s="12" t="inlineStr"/>
      <c r="R41" s="12" t="inlineStr"/>
      <c r="S41" s="12" t="inlineStr"/>
    </row>
    <row r="42">
      <c r="A42" s="13" t="inlineStr">
        <is>
          <t>建议核</t>
        </is>
      </c>
      <c r="B42" s="10" t="inlineStr">
        <is>
          <t>CL042</t>
        </is>
      </c>
      <c r="C42" s="10" t="inlineStr">
        <is>
          <t>CRQ10</t>
        </is>
      </c>
      <c r="D42" s="10" t="inlineStr">
        <is>
          <t>Ying Wang; Jun Liu; Jianrui Miao; Lei Nie</t>
        </is>
      </c>
      <c r="E42" s="10" t="inlineStr">
        <is>
          <t>2008</t>
        </is>
      </c>
      <c r="F42" s="10" t="inlineStr">
        <is>
          <t>A Column Generation-Based Approach for Railway Crew Scheduling Problem</t>
        </is>
      </c>
      <c r="G42" s="10" t="inlineStr">
        <is>
          <t>Traffic and Transportation Studies</t>
        </is>
      </c>
      <c r="H42" s="10" t="inlineStr">
        <is>
          <t>10.1061/40995(322)65</t>
        </is>
      </c>
      <c r="I42" s="10" t="inlineStr">
        <is>
          <t>AP：CG/B&amp;P 应用或建模，没有单独评估的加速</t>
        </is>
      </c>
      <c r="J42" s="10" t="inlineStr"/>
      <c r="K42" s="10" t="inlineStr"/>
      <c r="L42" s="10" t="inlineStr"/>
      <c r="M42" s="12" t="inlineStr"/>
      <c r="N42" s="12" t="inlineStr"/>
      <c r="O42" s="12" t="inlineStr"/>
      <c r="P42" s="12" t="inlineStr"/>
      <c r="Q42" s="12" t="inlineStr"/>
      <c r="R42" s="12" t="inlineStr"/>
      <c r="S42" s="12" t="inlineStr"/>
    </row>
    <row r="43" ht="60" customHeight="1">
      <c r="A43" s="13" t="inlineStr">
        <is>
          <t>建议核</t>
        </is>
      </c>
      <c r="B43" s="10" t="inlineStr">
        <is>
          <t>CL043</t>
        </is>
      </c>
      <c r="C43" s="10" t="inlineStr">
        <is>
          <t>CRQ06</t>
        </is>
      </c>
      <c r="D43" s="10" t="inlineStr">
        <is>
          <t>yuchao zhan; xiaoqiang zhang; mao ye</t>
        </is>
      </c>
      <c r="E43" s="10" t="inlineStr">
        <is>
          <t>2026</t>
        </is>
      </c>
      <c r="F43" s="10" t="inlineStr">
        <is>
          <t>A column-generation-based metaheuristic approach for metro train scheduling optimization: Integrated flexible composition and multi-route operations</t>
        </is>
      </c>
      <c r="G43" s="10" t="inlineStr"/>
      <c r="H43" s="10" t="inlineStr">
        <is>
          <t>10.2139/ssrn.6478950</t>
        </is>
      </c>
      <c r="I43" s="10" t="inlineStr">
        <is>
          <t>AP：CG/B&amp;P 应用或建模，没有单独评估的加速</t>
        </is>
      </c>
      <c r="J43" s="10" t="inlineStr"/>
      <c r="K43" s="10" t="inlineStr"/>
      <c r="L43" s="10" t="inlineStr"/>
      <c r="M43" s="12" t="inlineStr"/>
      <c r="N43" s="12" t="str">
        <v>无法判断</v>
      </c>
      <c r="O43" s="12" t="inlineStr"/>
      <c r="P43" s="12" t="inlineStr"/>
      <c r="Q43" s="12" t="str">
        <v>D114 当前类别（标题层面，暂定）：未确定。暂不作为最终分类计数的定案依据。
D114 PDF 不适用（网页/元数据）；Crossref出版社注册标题和作者摘要；2026-10-15；https://api.crossref.org/works/10.2139/ssrn.6478950</v>
      </c>
      <c r="R43" s="12" t="str">
        <v>Codex（依据作者裁决）</v>
      </c>
      <c r="S43" s="12" t="str">
        <v>2026-10-15</v>
      </c>
    </row>
    <row r="44">
      <c r="A44" s="13" t="inlineStr">
        <is>
          <t>建议核</t>
        </is>
      </c>
      <c r="B44" s="10" t="inlineStr">
        <is>
          <t>CL045</t>
        </is>
      </c>
      <c r="C44" s="10" t="inlineStr">
        <is>
          <t>CRQ08</t>
        </is>
      </c>
      <c r="D44" s="10" t="inlineStr">
        <is>
          <t>Ivo Nowak</t>
        </is>
      </c>
      <c r="E44" s="10" t="inlineStr">
        <is>
          <t>2005</t>
        </is>
      </c>
      <c r="F44" s="10" t="inlineStr">
        <is>
          <t>Branch-Cut-and-Price Algorithms</t>
        </is>
      </c>
      <c r="G44" s="10" t="inlineStr">
        <is>
          <t>International Series of Numerical Mathematics; Relaxation and Decomposition Methods for Mixed Integer Nonlinear Programming</t>
        </is>
      </c>
      <c r="H44" s="10" t="inlineStr">
        <is>
          <t>10.1007/3-7643-7374-1_13</t>
        </is>
      </c>
      <c r="I44" s="10" t="inlineStr">
        <is>
          <t>GC：一般性章节</t>
        </is>
      </c>
      <c r="J44" s="10" t="inlineStr"/>
      <c r="K44" s="10" t="inlineStr"/>
      <c r="L44" s="10" t="inlineStr"/>
      <c r="M44" s="12" t="inlineStr"/>
      <c r="N44" s="12" t="inlineStr"/>
      <c r="O44" s="12" t="inlineStr"/>
      <c r="P44" s="12" t="inlineStr"/>
      <c r="Q44" s="12" t="inlineStr"/>
      <c r="R44" s="12" t="inlineStr"/>
      <c r="S44" s="12" t="inlineStr"/>
    </row>
    <row r="45">
      <c r="A45" s="13" t="inlineStr">
        <is>
          <t>建议核</t>
        </is>
      </c>
      <c r="B45" s="10" t="inlineStr">
        <is>
          <t>CL046</t>
        </is>
      </c>
      <c r="C45" s="10" t="inlineStr">
        <is>
          <t>CRQ08</t>
        </is>
      </c>
      <c r="D45" s="10" t="inlineStr">
        <is>
          <t>Jacques Desrosiers; Marco Lübbecke; Guy Desaulniers; Jean Bertrand Gauthier</t>
        </is>
      </c>
      <c r="E45" s="10" t="inlineStr">
        <is>
          <t>2026</t>
        </is>
      </c>
      <c r="F45" s="10" t="inlineStr">
        <is>
          <t>Branch-Price-and-Cut</t>
        </is>
      </c>
      <c r="G45" s="10" t="inlineStr">
        <is>
          <t>Branch-and-Price</t>
        </is>
      </c>
      <c r="H45" s="10" t="inlineStr">
        <is>
          <t>10.1007/978-3-031-96917-1_7</t>
        </is>
      </c>
      <c r="I45" s="10" t="inlineStr">
        <is>
          <t>GC：一般性章节</t>
        </is>
      </c>
      <c r="J45" s="10" t="inlineStr"/>
      <c r="K45" s="10" t="inlineStr"/>
      <c r="L45" s="10" t="inlineStr"/>
      <c r="M45" s="12" t="inlineStr"/>
      <c r="N45" s="12" t="inlineStr"/>
      <c r="O45" s="12" t="inlineStr"/>
      <c r="P45" s="12" t="inlineStr"/>
      <c r="Q45" s="12" t="inlineStr"/>
      <c r="R45" s="12" t="inlineStr"/>
      <c r="S45" s="12" t="inlineStr"/>
    </row>
    <row r="46">
      <c r="A46" s="13" t="inlineStr">
        <is>
          <t>建议核</t>
        </is>
      </c>
      <c r="B46" s="10" t="inlineStr">
        <is>
          <t>CL047</t>
        </is>
      </c>
      <c r="C46" s="10" t="inlineStr">
        <is>
          <t>CRQ09</t>
        </is>
      </c>
      <c r="D46" s="10" t="inlineStr">
        <is>
          <t>Hatem Ben Amor; José Valério de Carvalho</t>
        </is>
      </c>
      <c r="E46" s="10" t="inlineStr">
        <is>
          <t>2005</t>
        </is>
      </c>
      <c r="F46" s="10" t="inlineStr">
        <is>
          <t>Cutting Stock Problems</t>
        </is>
      </c>
      <c r="G46" s="10" t="inlineStr">
        <is>
          <t>Column Generation</t>
        </is>
      </c>
      <c r="H46" s="10" t="inlineStr">
        <is>
          <t>10.1007/0-387-25486-2_5</t>
        </is>
      </c>
      <c r="I46" s="10" t="inlineStr">
        <is>
          <t>AP：CG/B&amp;P 应用或建模，没有单独评估的加速</t>
        </is>
      </c>
      <c r="J46" s="10" t="inlineStr"/>
      <c r="K46" s="10" t="inlineStr"/>
      <c r="L46" s="10" t="inlineStr"/>
      <c r="M46" s="12" t="inlineStr"/>
      <c r="N46" s="12" t="inlineStr"/>
      <c r="O46" s="12" t="inlineStr"/>
      <c r="P46" s="12" t="inlineStr"/>
      <c r="Q46" s="12" t="inlineStr"/>
      <c r="R46" s="12" t="inlineStr"/>
      <c r="S46" s="12" t="inlineStr"/>
    </row>
    <row r="47">
      <c r="A47" s="13" t="inlineStr">
        <is>
          <t>建议核</t>
        </is>
      </c>
      <c r="B47" s="10" t="inlineStr">
        <is>
          <t>CL048</t>
        </is>
      </c>
      <c r="C47" s="10" t="inlineStr">
        <is>
          <t>CRQ09</t>
        </is>
      </c>
      <c r="D47" s="10" t="inlineStr">
        <is>
          <t>Anuj Mehrotra; Michael A. Trick</t>
        </is>
      </c>
      <c r="E47" s="10" t="inlineStr">
        <is>
          <t>1996</t>
        </is>
      </c>
      <c r="F47" s="10" t="inlineStr">
        <is>
          <t>A Column Generation Approach for Graph Coloring</t>
        </is>
      </c>
      <c r="G47" s="10" t="inlineStr">
        <is>
          <t>INFORMS Journal on Computing</t>
        </is>
      </c>
      <c r="H47" s="10" t="inlineStr">
        <is>
          <t>10.1287/ijoc.8.4.344</t>
        </is>
      </c>
      <c r="I47" s="10" t="inlineStr">
        <is>
          <t>AP：CG/B&amp;P 应用或建模，没有单独评估的加速</t>
        </is>
      </c>
      <c r="J47" s="10" t="inlineStr"/>
      <c r="K47" s="10" t="inlineStr"/>
      <c r="L47" s="10" t="inlineStr"/>
      <c r="M47" s="12" t="inlineStr"/>
      <c r="N47" s="12" t="inlineStr"/>
      <c r="O47" s="12" t="inlineStr"/>
      <c r="P47" s="12" t="inlineStr"/>
      <c r="Q47" s="12" t="inlineStr"/>
      <c r="R47" s="12" t="inlineStr"/>
      <c r="S47" s="12" t="inlineStr"/>
    </row>
    <row r="48">
      <c r="A48" s="13" t="inlineStr">
        <is>
          <t>建议核</t>
        </is>
      </c>
      <c r="B48" s="10" t="inlineStr">
        <is>
          <t>CL049</t>
        </is>
      </c>
      <c r="C48" s="10" t="inlineStr">
        <is>
          <t>CRQ09</t>
        </is>
      </c>
      <c r="D48" s="10" t="inlineStr">
        <is>
          <t>Birol Yüceoğlu; Güvenç Şahin; Stan P.M. van Hoesel</t>
        </is>
      </c>
      <c r="E48" s="10" t="inlineStr">
        <is>
          <t>2017</t>
        </is>
      </c>
      <c r="F48" s="10" t="inlineStr">
        <is>
          <t>A column generation based algorithm for the robust graph coloring problem</t>
        </is>
      </c>
      <c r="G48" s="10" t="inlineStr">
        <is>
          <t>Discrete Applied Mathematics</t>
        </is>
      </c>
      <c r="H48" s="10" t="inlineStr">
        <is>
          <t>10.1016/j.dam.2016.09.006</t>
        </is>
      </c>
      <c r="I48" s="10" t="inlineStr">
        <is>
          <t>AP：CG/B&amp;P 应用或建模，没有单独评估的加速</t>
        </is>
      </c>
      <c r="J48" s="10" t="inlineStr"/>
      <c r="K48" s="10" t="inlineStr"/>
      <c r="L48" s="10" t="inlineStr"/>
      <c r="M48" s="12" t="inlineStr"/>
      <c r="N48" s="12" t="inlineStr"/>
      <c r="O48" s="12" t="inlineStr"/>
      <c r="P48" s="12" t="inlineStr"/>
      <c r="Q48" s="12" t="inlineStr"/>
      <c r="R48" s="12" t="inlineStr"/>
      <c r="S48" s="12" t="inlineStr"/>
    </row>
    <row r="49">
      <c r="A49" s="13" t="inlineStr">
        <is>
          <t>建议核</t>
        </is>
      </c>
      <c r="B49" s="10" t="inlineStr">
        <is>
          <t>CL050</t>
        </is>
      </c>
      <c r="C49" s="10" t="inlineStr">
        <is>
          <t>CRQ09</t>
        </is>
      </c>
      <c r="D49" s="10" t="inlineStr">
        <is>
          <t>Socorro Rangel; Jennifer C. Borges; Helenice  de Oliveira Florentino</t>
        </is>
      </c>
      <c r="E49" s="10" t="inlineStr">
        <is>
          <t>2026</t>
        </is>
      </c>
      <c r="F49" s="10" t="inlineStr">
        <is>
          <t>A Study of Column Generation Embedded in Scalarization Methods for the Bi-Objective Cutting Stock Problem</t>
        </is>
      </c>
      <c r="G49" s="10" t="inlineStr"/>
      <c r="H49" s="10" t="inlineStr">
        <is>
          <t>10.2139/ssrn.6543679</t>
        </is>
      </c>
      <c r="I49" s="10" t="inlineStr">
        <is>
          <t>AP：CG/B&amp;P 应用或建模，没有单独评估的加速</t>
        </is>
      </c>
      <c r="J49" s="10" t="inlineStr"/>
      <c r="K49" s="10" t="inlineStr"/>
      <c r="L49" s="10" t="inlineStr"/>
      <c r="M49" s="12" t="inlineStr"/>
      <c r="N49" s="12" t="inlineStr"/>
      <c r="O49" s="12" t="inlineStr"/>
      <c r="P49" s="12" t="inlineStr"/>
      <c r="Q49" s="12" t="inlineStr"/>
      <c r="R49" s="12" t="inlineStr"/>
      <c r="S49" s="12" t="inlineStr"/>
    </row>
    <row r="50" ht="60" customHeight="1">
      <c r="A50" s="13" t="inlineStr">
        <is>
          <t>建议核</t>
        </is>
      </c>
      <c r="B50" s="10" t="inlineStr">
        <is>
          <t>CL051</t>
        </is>
      </c>
      <c r="C50" s="10" t="inlineStr">
        <is>
          <t>CRQ09</t>
        </is>
      </c>
      <c r="D50" s="10" t="inlineStr">
        <is>
          <t>Jon Lee</t>
        </is>
      </c>
      <c r="E50" s="10" t="inlineStr">
        <is>
          <t>2007</t>
        </is>
      </c>
      <c r="F50" s="10" t="inlineStr">
        <is>
          <t>In situ column generation for a cutting-stock problem</t>
        </is>
      </c>
      <c r="G50" s="10" t="inlineStr">
        <is>
          <t>Computers &amp; Operations Research</t>
        </is>
      </c>
      <c r="H50" s="10" t="inlineStr">
        <is>
          <t>10.1016/j.cor.2005.09.007</t>
        </is>
      </c>
      <c r="I50" s="10" t="inlineStr">
        <is>
          <t>AP：CG/B&amp;P 应用或建模，没有单独评估的加速</t>
        </is>
      </c>
      <c r="J50" s="10" t="inlineStr"/>
      <c r="K50" s="10" t="inlineStr"/>
      <c r="L50" s="10" t="inlineStr"/>
      <c r="M50" s="12" t="inlineStr"/>
      <c r="N50" s="12" t="str">
        <v>无法判断</v>
      </c>
      <c r="O50" s="12" t="inlineStr"/>
      <c r="P50" s="12" t="inlineStr"/>
      <c r="Q50" s="12" t="str">
        <v>D115 当前类别（标题层面，暂定）：未确定。暂不作为最终分类计数的定案依据。
D115 PDF 不适用（网页/元数据）；Crossref出版社注册标题；2026-10-15；https://api.crossref.org/works/10.1016/j.cor.2005.09.007；另核原作者出版社页面/正文</v>
      </c>
      <c r="R50" s="12" t="str">
        <v>Codex（依据作者裁决）</v>
      </c>
      <c r="S50" s="12" t="str">
        <v>2026-10-15</v>
      </c>
    </row>
    <row r="51">
      <c r="A51" s="13" t="inlineStr">
        <is>
          <t>建议核</t>
        </is>
      </c>
      <c r="B51" s="10" t="inlineStr">
        <is>
          <t>CL052</t>
        </is>
      </c>
      <c r="C51" s="10" t="inlineStr">
        <is>
          <t>CRQ09</t>
        </is>
      </c>
      <c r="D51" s="10" t="inlineStr">
        <is>
          <t>Jaya Thomas; Narendra Chaudhari</t>
        </is>
      </c>
      <c r="E51" s="10" t="inlineStr">
        <is>
          <t>2012</t>
        </is>
      </c>
      <c r="F51" s="10" t="inlineStr">
        <is>
          <t>An analytical approach for column generation for one-dimensional cutting stock problem</t>
        </is>
      </c>
      <c r="G51" s="10" t="inlineStr">
        <is>
          <t>Proceedings of the CUBE International Information Technology Conference</t>
        </is>
      </c>
      <c r="H51" s="10" t="inlineStr">
        <is>
          <t>10.1145/2381716.2381734</t>
        </is>
      </c>
      <c r="I51" s="10" t="inlineStr">
        <is>
          <t>AP：CG/B&amp;P 应用或建模，没有单独评估的加速</t>
        </is>
      </c>
      <c r="J51" s="10" t="inlineStr"/>
      <c r="K51" s="10" t="inlineStr"/>
      <c r="L51" s="10" t="inlineStr"/>
      <c r="M51" s="12" t="inlineStr"/>
      <c r="N51" s="12" t="inlineStr"/>
      <c r="O51" s="12" t="inlineStr"/>
      <c r="P51" s="12" t="inlineStr"/>
      <c r="Q51" s="12" t="inlineStr"/>
      <c r="R51" s="12" t="inlineStr"/>
      <c r="S51" s="12" t="inlineStr"/>
    </row>
    <row r="52">
      <c r="A52" s="13" t="inlineStr">
        <is>
          <t>建议核</t>
        </is>
      </c>
      <c r="B52" s="10" t="inlineStr">
        <is>
          <t>CL053</t>
        </is>
      </c>
      <c r="C52" s="10" t="inlineStr">
        <is>
          <t>CRQ09</t>
        </is>
      </c>
      <c r="D52" s="10" t="inlineStr">
        <is>
          <t>Fran&amp;#x000E7;ois Vanderbeck</t>
        </is>
      </c>
      <c r="E52" s="10" t="inlineStr">
        <is>
          <t>1999</t>
        </is>
      </c>
      <c r="F52" s="10" t="inlineStr">
        <is>
          <t>Computational study of a column generation algorithm for bin packing and cutting stock problems</t>
        </is>
      </c>
      <c r="G52" s="10" t="inlineStr">
        <is>
          <t>Mathematical Programming</t>
        </is>
      </c>
      <c r="H52" s="10" t="inlineStr">
        <is>
          <t>10.1007/s101070050105</t>
        </is>
      </c>
      <c r="I52" s="10" t="inlineStr">
        <is>
          <t>AP：CG/B&amp;P 应用或建模，没有单独评估的加速</t>
        </is>
      </c>
      <c r="J52" s="10" t="inlineStr"/>
      <c r="K52" s="10" t="inlineStr"/>
      <c r="L52" s="10" t="inlineStr"/>
      <c r="M52" s="12" t="inlineStr"/>
      <c r="N52" s="12" t="inlineStr"/>
      <c r="O52" s="12" t="inlineStr"/>
      <c r="P52" s="12" t="inlineStr"/>
      <c r="Q52" s="12" t="inlineStr"/>
      <c r="R52" s="12" t="inlineStr"/>
      <c r="S52" s="12" t="inlineStr"/>
    </row>
    <row r="53">
      <c r="A53" s="13" t="inlineStr">
        <is>
          <t>建议核</t>
        </is>
      </c>
      <c r="B53" s="10" t="inlineStr">
        <is>
          <t>CL054</t>
        </is>
      </c>
      <c r="C53" s="10" t="inlineStr">
        <is>
          <t>CRQ09</t>
        </is>
      </c>
      <c r="D53" s="10" t="inlineStr">
        <is>
          <t>Eugene J. Zak</t>
        </is>
      </c>
      <c r="E53" s="10" t="inlineStr">
        <is>
          <t>2002</t>
        </is>
      </c>
      <c r="F53" s="10" t="inlineStr">
        <is>
          <t>Row and column generation technique for a multistage cutting stock problem</t>
        </is>
      </c>
      <c r="G53" s="10" t="inlineStr">
        <is>
          <t>Computers &amp; Operations Research</t>
        </is>
      </c>
      <c r="H53" s="10" t="inlineStr">
        <is>
          <t>10.1016/s0305-0548(00)00111-8</t>
        </is>
      </c>
      <c r="I53" s="10" t="inlineStr">
        <is>
          <t>AP：CG/B&amp;P 应用或建模，没有单独评估的加速</t>
        </is>
      </c>
      <c r="J53" s="10" t="inlineStr"/>
      <c r="K53" s="10" t="inlineStr"/>
      <c r="L53" s="10" t="inlineStr"/>
      <c r="M53" s="12" t="inlineStr"/>
      <c r="N53" s="12" t="inlineStr"/>
      <c r="O53" s="12" t="inlineStr"/>
      <c r="P53" s="12" t="inlineStr"/>
      <c r="Q53" s="12" t="inlineStr"/>
      <c r="R53" s="12" t="inlineStr"/>
      <c r="S53" s="12" t="inlineStr"/>
    </row>
    <row r="54">
      <c r="A54" s="13" t="inlineStr">
        <is>
          <t>建议核</t>
        </is>
      </c>
      <c r="B54" s="10" t="inlineStr">
        <is>
          <t>CL055</t>
        </is>
      </c>
      <c r="C54" s="10" t="inlineStr">
        <is>
          <t>CRQ09</t>
        </is>
      </c>
      <c r="D54" s="10" t="inlineStr">
        <is>
          <t>Müjgan Sağır; Tuğba Saraç</t>
        </is>
      </c>
      <c r="E54" s="10" t="inlineStr">
        <is>
          <t>2024</t>
        </is>
      </c>
      <c r="F54" s="10" t="inlineStr">
        <is>
          <t>Column generation approach for 1.5-dimensional cutting stock problem with technical constraints</t>
        </is>
      </c>
      <c r="G54" s="10" t="inlineStr">
        <is>
          <t>Mathematical Modelling and Numerical Simulation with Applications</t>
        </is>
      </c>
      <c r="H54" s="10" t="inlineStr">
        <is>
          <t>10.53391/mmnsa.1492749</t>
        </is>
      </c>
      <c r="I54" s="10" t="inlineStr">
        <is>
          <t>AP：CG/B&amp;P 应用或建模，没有单独评估的加速</t>
        </is>
      </c>
      <c r="J54" s="10" t="inlineStr"/>
      <c r="K54" s="10" t="inlineStr"/>
      <c r="L54" s="10" t="inlineStr"/>
      <c r="M54" s="12" t="inlineStr"/>
      <c r="N54" s="12" t="inlineStr"/>
      <c r="O54" s="12" t="inlineStr"/>
      <c r="P54" s="12" t="inlineStr"/>
      <c r="Q54" s="12" t="inlineStr"/>
      <c r="R54" s="12" t="inlineStr"/>
      <c r="S54" s="12" t="inlineStr"/>
    </row>
    <row r="55">
      <c r="A55" s="13" t="inlineStr">
        <is>
          <t>建议核</t>
        </is>
      </c>
      <c r="B55" s="10" t="inlineStr">
        <is>
          <t>CL056</t>
        </is>
      </c>
      <c r="C55" s="10" t="inlineStr">
        <is>
          <t>CRQ09</t>
        </is>
      </c>
      <c r="D55" s="10" t="inlineStr">
        <is>
          <t>Kamal Isham; Khusnul Novianingsih; Kartika Yulianti</t>
        </is>
      </c>
      <c r="E55" s="10" t="inlineStr">
        <is>
          <t>2023</t>
        </is>
      </c>
      <c r="F55" s="10" t="inlineStr">
        <is>
          <t>PENYELESAIAN MASALAH CUTTING STOCK  DENGAN PENGELASAN MENGGUNAKAN TEKNIK COLUMN GENERATION</t>
        </is>
      </c>
      <c r="G55" s="10" t="inlineStr">
        <is>
          <t>Interval : Jurnal Ilmiah Matematika</t>
        </is>
      </c>
      <c r="H55" s="10" t="inlineStr">
        <is>
          <t>10.33751/interval.v3i1.7351</t>
        </is>
      </c>
      <c r="I55" s="10" t="inlineStr">
        <is>
          <t>AP：CG/B&amp;P 应用或建模，没有单独评估的加速</t>
        </is>
      </c>
      <c r="J55" s="10" t="inlineStr"/>
      <c r="K55" s="10" t="inlineStr"/>
      <c r="L55" s="10" t="inlineStr"/>
      <c r="M55" s="12" t="inlineStr"/>
      <c r="N55" s="12" t="inlineStr"/>
      <c r="O55" s="12" t="inlineStr"/>
      <c r="P55" s="12" t="inlineStr"/>
      <c r="Q55" s="12" t="inlineStr"/>
      <c r="R55" s="12" t="inlineStr"/>
      <c r="S55" s="12" t="inlineStr"/>
    </row>
    <row r="56">
      <c r="A56" s="13" t="inlineStr">
        <is>
          <t>建议核</t>
        </is>
      </c>
      <c r="B56" s="10" t="inlineStr">
        <is>
          <t>CL057</t>
        </is>
      </c>
      <c r="C56" s="10" t="inlineStr">
        <is>
          <t>CRQ09</t>
        </is>
      </c>
      <c r="D56" s="10" t="inlineStr">
        <is>
          <t>Supphakorn Sumetthapiwat; Boonyarit Intiyot; Chawalit Jeenanunta</t>
        </is>
      </c>
      <c r="E56" s="10" t="inlineStr">
        <is>
          <t>2020</t>
        </is>
      </c>
      <c r="F56" s="10" t="inlineStr">
        <is>
          <t>A column generation on two-dimensional cutting stock problem with fixed-size usable leftover and multiple stock sizes</t>
        </is>
      </c>
      <c r="G56" s="10" t="inlineStr">
        <is>
          <t>International Journal of Logistics Systems and Management</t>
        </is>
      </c>
      <c r="H56" s="10" t="inlineStr">
        <is>
          <t>10.1504/ijlsm.2020.104781</t>
        </is>
      </c>
      <c r="I56" s="10" t="inlineStr">
        <is>
          <t>AP：CG/B&amp;P 应用或建模，没有单独评估的加速</t>
        </is>
      </c>
      <c r="J56" s="10" t="inlineStr"/>
      <c r="K56" s="10" t="inlineStr"/>
      <c r="L56" s="10" t="inlineStr"/>
      <c r="M56" s="12" t="inlineStr"/>
      <c r="N56" s="12" t="inlineStr"/>
      <c r="O56" s="12" t="inlineStr"/>
      <c r="P56" s="12" t="inlineStr"/>
      <c r="Q56" s="12" t="inlineStr"/>
      <c r="R56" s="12" t="inlineStr"/>
      <c r="S56" s="12" t="inlineStr"/>
    </row>
    <row r="57">
      <c r="A57" s="13" t="inlineStr">
        <is>
          <t>建议核</t>
        </is>
      </c>
      <c r="B57" s="10" t="inlineStr">
        <is>
          <t>CL058</t>
        </is>
      </c>
      <c r="C57" s="10" t="inlineStr">
        <is>
          <t>CRQ09</t>
        </is>
      </c>
      <c r="D57" s="10" t="inlineStr">
        <is>
          <t>Jaya Thomas; Narendra S. Chaudhari; Neetesh Saxena</t>
        </is>
      </c>
      <c r="E57" s="10" t="inlineStr">
        <is>
          <t>2013</t>
        </is>
      </c>
      <c r="F57" s="10" t="inlineStr">
        <is>
          <t>Genetic based effective column generation for 1-D Cutting Stock problem</t>
        </is>
      </c>
      <c r="G57" s="10" t="inlineStr">
        <is>
          <t>2013 5th International Conference on Modeling, Simulation and Applied Optimization (ICMSAO)</t>
        </is>
      </c>
      <c r="H57" s="10" t="inlineStr">
        <is>
          <t>10.1109/icmsao.2013.6552636</t>
        </is>
      </c>
      <c r="I57" s="10" t="inlineStr">
        <is>
          <t>CA：L1–L6 层的经典加速（可能符合条件，未编码）</t>
        </is>
      </c>
      <c r="J57" s="10" t="inlineStr">
        <is>
          <t>L5</t>
        </is>
      </c>
      <c r="K57" s="10" t="inlineStr"/>
      <c r="L57" s="10" t="inlineStr"/>
      <c r="M57" s="12" t="inlineStr"/>
      <c r="N57" s="12" t="inlineStr"/>
      <c r="O57" s="12" t="inlineStr"/>
      <c r="P57" s="12" t="inlineStr"/>
      <c r="Q57" s="12" t="inlineStr"/>
      <c r="R57" s="12" t="inlineStr"/>
      <c r="S57" s="12" t="inlineStr"/>
    </row>
    <row r="58">
      <c r="A58" s="13" t="inlineStr">
        <is>
          <t>建议核</t>
        </is>
      </c>
      <c r="B58" s="10" t="inlineStr">
        <is>
          <t>CL059</t>
        </is>
      </c>
      <c r="C58" s="10" t="inlineStr">
        <is>
          <t>CRQ09</t>
        </is>
      </c>
      <c r="D58" s="10" t="inlineStr">
        <is>
          <t>Vitor Augusto Menten de Barros; Henrique Mohallem Paiva</t>
        </is>
      </c>
      <c r="E58" s="10" t="inlineStr">
        <is>
          <t>2024</t>
        </is>
      </c>
      <c r="F58" s="10" t="inlineStr">
        <is>
          <t>SIMPLEX ALGORITHM WITH COLUMN GENERATION FOR A CUTTING STOCK PROBLEM IN THE PAPER INDUSTRY</t>
        </is>
      </c>
      <c r="G58" s="10" t="inlineStr">
        <is>
          <t>Anais do Simpósio Brasileiro de Pesquisa Operacional</t>
        </is>
      </c>
      <c r="H58" s="10" t="inlineStr">
        <is>
          <t>10.59254/sbpo-2024-193924</t>
        </is>
      </c>
      <c r="I58" s="10" t="inlineStr">
        <is>
          <t>AP：CG/B&amp;P 应用或建模，没有单独评估的加速</t>
        </is>
      </c>
      <c r="J58" s="10" t="inlineStr"/>
      <c r="K58" s="10" t="inlineStr"/>
      <c r="L58" s="10" t="inlineStr"/>
      <c r="M58" s="12" t="inlineStr"/>
      <c r="N58" s="12" t="inlineStr"/>
      <c r="O58" s="12" t="inlineStr"/>
      <c r="P58" s="12" t="inlineStr"/>
      <c r="Q58" s="12" t="inlineStr"/>
      <c r="R58" s="12" t="inlineStr"/>
      <c r="S58" s="12" t="inlineStr"/>
    </row>
    <row r="59" ht="60" customHeight="1">
      <c r="A59" s="13" t="inlineStr">
        <is>
          <t>建议核</t>
        </is>
      </c>
      <c r="B59" s="10" t="inlineStr">
        <is>
          <t>CL060</t>
        </is>
      </c>
      <c r="C59" s="10" t="inlineStr">
        <is>
          <t>CRQ09</t>
        </is>
      </c>
      <c r="D59" s="10" t="inlineStr">
        <is>
          <t>José Victor Sá Santos; Napoleão Nepomuceno</t>
        </is>
      </c>
      <c r="E59" s="10" t="inlineStr">
        <is>
          <t>2022</t>
        </is>
      </c>
      <c r="F59" s="10" t="inlineStr">
        <is>
          <t>Computational Performance Evaluation of Column Generation and Generate-and-Solve Techniques for the One-Dimensional Cutting Stock Problem</t>
        </is>
      </c>
      <c r="G59" s="10" t="inlineStr">
        <is>
          <t>Algorithms</t>
        </is>
      </c>
      <c r="H59" s="10" t="inlineStr">
        <is>
          <t>10.3390/a15110394</t>
        </is>
      </c>
      <c r="I59" s="10" t="inlineStr">
        <is>
          <t>AP：CG/B&amp;P 应用或建模，没有单独评估的加速</t>
        </is>
      </c>
      <c r="J59" s="10" t="inlineStr"/>
      <c r="K59" s="10" t="inlineStr"/>
      <c r="L59" s="10" t="inlineStr"/>
      <c r="M59" s="12" t="inlineStr"/>
      <c r="N59" s="12" t="str">
        <v>无法判断</v>
      </c>
      <c r="O59" s="12" t="inlineStr"/>
      <c r="P59" s="12" t="inlineStr"/>
      <c r="Q59" s="12" t="str">
        <v>D116 当前类别（标题层面，暂定）：未确定。暂不作为最终分类计数的定案依据。
D116 PDF 不适用（网页/元数据）；Crossref出版社注册标题和作者摘要；2026-10-15；https://api.crossref.org/works/10.3390/a15110394</v>
      </c>
      <c r="R59" s="12" t="str">
        <v>Codex（依据作者裁决）</v>
      </c>
      <c r="S59" s="12" t="str">
        <v>2026-10-15</v>
      </c>
    </row>
    <row r="60">
      <c r="A60" s="13" t="inlineStr">
        <is>
          <t>建议核</t>
        </is>
      </c>
      <c r="B60" s="10" t="inlineStr">
        <is>
          <t>CL061</t>
        </is>
      </c>
      <c r="C60" s="10" t="inlineStr">
        <is>
          <t>CRQ09</t>
        </is>
      </c>
      <c r="D60" s="10" t="inlineStr">
        <is>
          <t>J DECARVALHO</t>
        </is>
      </c>
      <c r="E60" s="10" t="inlineStr">
        <is>
          <t>1998</t>
        </is>
      </c>
      <c r="F60" s="10" t="inlineStr">
        <is>
          <t>Exact solution of cutting stock problems using column generation and branch-and-Bound</t>
        </is>
      </c>
      <c r="G60" s="10" t="inlineStr">
        <is>
          <t>International Transactions in Operational Research</t>
        </is>
      </c>
      <c r="H60" s="10" t="inlineStr">
        <is>
          <t>10.1016/s0969-6016(97)00044-0</t>
        </is>
      </c>
      <c r="I60" s="10" t="inlineStr">
        <is>
          <t>AP：CG/B&amp;P 应用或建模，没有单独评估的加速</t>
        </is>
      </c>
      <c r="J60" s="10" t="inlineStr"/>
      <c r="K60" s="10" t="inlineStr"/>
      <c r="L60" s="10" t="inlineStr"/>
      <c r="M60" s="12" t="inlineStr"/>
      <c r="N60" s="12" t="inlineStr"/>
      <c r="O60" s="12" t="inlineStr"/>
      <c r="P60" s="12" t="inlineStr"/>
      <c r="Q60" s="12" t="inlineStr"/>
      <c r="R60" s="12" t="inlineStr"/>
      <c r="S60" s="12" t="inlineStr"/>
    </row>
    <row r="61">
      <c r="A61" s="13" t="inlineStr">
        <is>
          <t>建议核</t>
        </is>
      </c>
      <c r="B61" s="10" t="inlineStr">
        <is>
          <t>CL062</t>
        </is>
      </c>
      <c r="C61" s="10" t="inlineStr">
        <is>
          <t>CRQ09</t>
        </is>
      </c>
      <c r="D61" s="10" t="inlineStr">
        <is>
          <t>Y. Liu; C. B. Chu; K. L. Wang</t>
        </is>
      </c>
      <c r="E61" s="10" t="inlineStr">
        <is>
          <t>2008</t>
        </is>
      </c>
      <c r="F61" s="10" t="inlineStr">
        <is>
          <t>A heuristic procedure based on column generation to solve a cutting stock problem</t>
        </is>
      </c>
      <c r="G61" s="10" t="inlineStr">
        <is>
          <t>2008 IEEE International Conference on Industrial Engineering and Engineering Management</t>
        </is>
      </c>
      <c r="H61" s="10" t="inlineStr">
        <is>
          <t>10.1109/ieem.2008.4737851</t>
        </is>
      </c>
      <c r="I61" s="10" t="inlineStr">
        <is>
          <t>AP：CG/B&amp;P 应用或建模，没有单独评估的加速</t>
        </is>
      </c>
      <c r="J61" s="10" t="inlineStr"/>
      <c r="K61" s="10" t="inlineStr"/>
      <c r="L61" s="10" t="inlineStr"/>
      <c r="M61" s="12" t="inlineStr"/>
      <c r="N61" s="12" t="inlineStr"/>
      <c r="O61" s="12" t="inlineStr"/>
      <c r="P61" s="12" t="inlineStr"/>
      <c r="Q61" s="12" t="inlineStr"/>
      <c r="R61" s="12" t="inlineStr"/>
      <c r="S61" s="12" t="inlineStr"/>
    </row>
    <row r="62">
      <c r="A62" s="13" t="inlineStr">
        <is>
          <t>建议核</t>
        </is>
      </c>
      <c r="B62" s="10" t="inlineStr">
        <is>
          <t>CL063</t>
        </is>
      </c>
      <c r="C62" s="10" t="inlineStr">
        <is>
          <t>CRQ09</t>
        </is>
      </c>
      <c r="D62" s="10" t="inlineStr">
        <is>
          <t>K. Novianingsih; R. Hadianti; S. Uttunggadewa</t>
        </is>
      </c>
      <c r="E62" s="10" t="inlineStr">
        <is>
          <t>2012</t>
        </is>
      </c>
      <c r="F62" s="10" t="inlineStr">
        <is>
          <t>COLUMN GENERATION TECHNIQUE FOR SOLVING TWO-DIMENSIONAL CUTTING STOCK PROBLEMS: METHOD OF STRIPE APPROACH</t>
        </is>
      </c>
      <c r="G62" s="10" t="inlineStr">
        <is>
          <t>Journal of the Indonesian Mathematical Society</t>
        </is>
      </c>
      <c r="H62" s="10" t="inlineStr">
        <is>
          <t>10.22342/jims.13.2.65.161-172</t>
        </is>
      </c>
      <c r="I62" s="10" t="inlineStr">
        <is>
          <t>AP：CG/B&amp;P 应用或建模，没有单独评估的加速</t>
        </is>
      </c>
      <c r="J62" s="10" t="inlineStr"/>
      <c r="K62" s="10" t="inlineStr"/>
      <c r="L62" s="10" t="inlineStr"/>
      <c r="M62" s="12" t="inlineStr"/>
      <c r="N62" s="12" t="inlineStr"/>
      <c r="O62" s="12" t="inlineStr"/>
      <c r="P62" s="12" t="inlineStr"/>
      <c r="Q62" s="12" t="inlineStr"/>
      <c r="R62" s="12" t="inlineStr"/>
      <c r="S62" s="12" t="inlineStr"/>
    </row>
    <row r="63">
      <c r="A63" s="13" t="inlineStr">
        <is>
          <t>建议核</t>
        </is>
      </c>
      <c r="B63" s="10" t="inlineStr">
        <is>
          <t>CL064</t>
        </is>
      </c>
      <c r="C63" s="10" t="inlineStr">
        <is>
          <t>CRQ10</t>
        </is>
      </c>
      <c r="D63" s="10" t="inlineStr">
        <is>
          <t>Jean-Marc Rousseau; Jaques Desrosiers</t>
        </is>
      </c>
      <c r="E63" s="10" t="inlineStr">
        <is>
          <t>1995</t>
        </is>
      </c>
      <c r="F63" s="10" t="inlineStr">
        <is>
          <t>Results Obtained with Crew-Opt: A Column Generation Method for Transit Crew Scheduling</t>
        </is>
      </c>
      <c r="G63" s="10" t="inlineStr">
        <is>
          <t>Lecture Notes in Economics and Mathematical Systems; Computer-Aided Transit Scheduling</t>
        </is>
      </c>
      <c r="H63" s="10" t="inlineStr">
        <is>
          <t>10.1007/978-3-642-57762-8_23</t>
        </is>
      </c>
      <c r="I63" s="10" t="inlineStr">
        <is>
          <t>AP：CG/B&amp;P 应用或建模，没有单独评估的加速</t>
        </is>
      </c>
      <c r="J63" s="10" t="inlineStr"/>
      <c r="K63" s="10" t="inlineStr"/>
      <c r="L63" s="10" t="inlineStr"/>
      <c r="M63" s="12" t="inlineStr"/>
      <c r="N63" s="12" t="inlineStr"/>
      <c r="O63" s="12" t="inlineStr"/>
      <c r="P63" s="12" t="inlineStr"/>
      <c r="Q63" s="12" t="inlineStr"/>
      <c r="R63" s="12" t="inlineStr"/>
      <c r="S63" s="12" t="inlineStr"/>
    </row>
    <row r="64">
      <c r="A64" s="13" t="inlineStr">
        <is>
          <t>建议核</t>
        </is>
      </c>
      <c r="B64" s="10" t="inlineStr">
        <is>
          <t>CL065</t>
        </is>
      </c>
      <c r="C64" s="10" t="inlineStr">
        <is>
          <t>CRQ10</t>
        </is>
      </c>
      <c r="D64" s="10" t="inlineStr">
        <is>
          <t>Martin Desrochers; Johanne Gilbert; Michel Sauvé; François Soumis</t>
        </is>
      </c>
      <c r="E64" s="10" t="inlineStr">
        <is>
          <t>1992</t>
        </is>
      </c>
      <c r="F64" s="10" t="inlineStr">
        <is>
          <t>CREW-OPT: Subproblem Modeling in a Column Generation Approach to Urban Crew Scheduling</t>
        </is>
      </c>
      <c r="G64" s="10" t="inlineStr">
        <is>
          <t>Lecture Notes in Economics and Mathematical Systems; Computer-Aided Transit Scheduling</t>
        </is>
      </c>
      <c r="H64" s="10" t="inlineStr">
        <is>
          <t>10.1007/978-3-642-85968-7_25</t>
        </is>
      </c>
      <c r="I64" s="10" t="inlineStr">
        <is>
          <t>AP：CG/B&amp;P 应用或建模，没有单独评估的加速</t>
        </is>
      </c>
      <c r="J64" s="10" t="inlineStr"/>
      <c r="K64" s="10" t="inlineStr"/>
      <c r="L64" s="10" t="inlineStr"/>
      <c r="M64" s="12" t="inlineStr"/>
      <c r="N64" s="12" t="inlineStr"/>
      <c r="O64" s="12" t="inlineStr"/>
      <c r="P64" s="12" t="inlineStr"/>
      <c r="Q64" s="12" t="inlineStr"/>
      <c r="R64" s="12" t="inlineStr"/>
      <c r="S64" s="12" t="inlineStr"/>
    </row>
    <row r="65">
      <c r="A65" s="13" t="inlineStr">
        <is>
          <t>建议核</t>
        </is>
      </c>
      <c r="B65" s="10" t="inlineStr">
        <is>
          <t>CL066</t>
        </is>
      </c>
      <c r="C65" s="10" t="inlineStr">
        <is>
          <t>CRQ10</t>
        </is>
      </c>
      <c r="D65" s="10" t="inlineStr">
        <is>
          <t>Andre Gustavo dos Santos; Geraldo Robson Mateus</t>
        </is>
      </c>
      <c r="E65" s="10" t="inlineStr">
        <is>
          <t>2009</t>
        </is>
      </c>
      <c r="F65" s="10" t="inlineStr">
        <is>
          <t>General hybrid column generation algorithm for crew scheduling problems using genetic algorithm</t>
        </is>
      </c>
      <c r="G65" s="10" t="inlineStr">
        <is>
          <t>2009 IEEE Congress on Evolutionary Computation</t>
        </is>
      </c>
      <c r="H65" s="10" t="inlineStr">
        <is>
          <t>10.1109/cec.2009.4983159</t>
        </is>
      </c>
      <c r="I65" s="10" t="inlineStr">
        <is>
          <t>CA：L1–L6 层的经典加速（可能符合条件，未编码）</t>
        </is>
      </c>
      <c r="J65" s="10" t="inlineStr">
        <is>
          <t>L5</t>
        </is>
      </c>
      <c r="K65" s="10" t="inlineStr"/>
      <c r="L65" s="10" t="inlineStr"/>
      <c r="M65" s="12" t="inlineStr"/>
      <c r="N65" s="12" t="inlineStr"/>
      <c r="O65" s="12" t="inlineStr"/>
      <c r="P65" s="12" t="inlineStr"/>
      <c r="Q65" s="12" t="inlineStr"/>
      <c r="R65" s="12" t="inlineStr"/>
      <c r="S65" s="12" t="inlineStr"/>
    </row>
    <row r="66">
      <c r="A66" s="13" t="inlineStr">
        <is>
          <t>建议核</t>
        </is>
      </c>
      <c r="B66" s="10" t="inlineStr">
        <is>
          <t>CL067</t>
        </is>
      </c>
      <c r="C66" s="10" t="inlineStr">
        <is>
          <t>CRQ10</t>
        </is>
      </c>
      <c r="D66" s="10" t="inlineStr">
        <is>
          <t>Yu Iijima; Tatsushi Nishi</t>
        </is>
      </c>
      <c r="E66" s="10" t="inlineStr">
        <is>
          <t>2016</t>
        </is>
      </c>
      <c r="F66" s="10" t="inlineStr">
        <is>
          <t>Column generation heuristics to airline crew scheduling problem for fair working time</t>
        </is>
      </c>
      <c r="G66" s="10" t="inlineStr">
        <is>
          <t>2016 IEEE International Conference on Systems, Man, and Cybernetics (SMC)</t>
        </is>
      </c>
      <c r="H66" s="10" t="inlineStr">
        <is>
          <t>10.1109/smc.2016.7844729</t>
        </is>
      </c>
      <c r="I66" s="10" t="inlineStr">
        <is>
          <t>AP：CG/B&amp;P 应用或建模，没有单独评估的加速</t>
        </is>
      </c>
      <c r="J66" s="10" t="inlineStr"/>
      <c r="K66" s="10" t="inlineStr"/>
      <c r="L66" s="10" t="inlineStr"/>
      <c r="M66" s="12" t="inlineStr"/>
      <c r="N66" s="12" t="inlineStr"/>
      <c r="O66" s="12" t="inlineStr"/>
      <c r="P66" s="12" t="inlineStr"/>
      <c r="Q66" s="12" t="inlineStr"/>
      <c r="R66" s="12" t="inlineStr"/>
      <c r="S66" s="12" t="inlineStr"/>
    </row>
    <row r="67">
      <c r="A67" s="13" t="inlineStr">
        <is>
          <t>建议核</t>
        </is>
      </c>
      <c r="B67" s="10" t="inlineStr">
        <is>
          <t>CL068</t>
        </is>
      </c>
      <c r="C67" s="10" t="inlineStr">
        <is>
          <t>CRQ10</t>
        </is>
      </c>
      <c r="D67" s="10" t="inlineStr">
        <is>
          <t>Ilyas Himmich; Issmail El Hallaoui; François Soumis</t>
        </is>
      </c>
      <c r="E67" s="10" t="inlineStr">
        <is>
          <t>2020</t>
        </is>
      </c>
      <c r="F67" s="10" t="inlineStr">
        <is>
          <t>Primal column generation framework for vehicle and crew scheduling problems</t>
        </is>
      </c>
      <c r="G67" s="10" t="inlineStr">
        <is>
          <t>Networks</t>
        </is>
      </c>
      <c r="H67" s="10" t="inlineStr">
        <is>
          <t>10.1002/net.21925</t>
        </is>
      </c>
      <c r="I67" s="10" t="inlineStr">
        <is>
          <t>CA：L1–L6 层的经典加速（可能符合条件，未编码）</t>
        </is>
      </c>
      <c r="J67" s="10" t="inlineStr">
        <is>
          <t>L2, L6</t>
        </is>
      </c>
      <c r="K67" s="10" t="inlineStr"/>
      <c r="L67" s="10" t="inlineStr"/>
      <c r="M67" s="12" t="inlineStr"/>
      <c r="N67" s="12" t="inlineStr"/>
      <c r="O67" s="12" t="inlineStr"/>
      <c r="P67" s="12" t="inlineStr"/>
      <c r="Q67" s="12" t="inlineStr"/>
      <c r="R67" s="12" t="inlineStr"/>
      <c r="S67" s="12" t="inlineStr"/>
    </row>
    <row r="68">
      <c r="A68" s="13" t="inlineStr">
        <is>
          <t>建议核</t>
        </is>
      </c>
      <c r="B68" s="10" t="inlineStr">
        <is>
          <t>CL069</t>
        </is>
      </c>
      <c r="C68" s="10" t="inlineStr">
        <is>
          <t>CRQ10</t>
        </is>
      </c>
      <c r="D68" s="10" t="inlineStr">
        <is>
          <t>Martin Desrochers; François Soumis</t>
        </is>
      </c>
      <c r="E68" s="10" t="inlineStr">
        <is>
          <t>1989</t>
        </is>
      </c>
      <c r="F68" s="10" t="inlineStr">
        <is>
          <t>A Column Generation Approach to the Urban Transit Crew Scheduling Problem</t>
        </is>
      </c>
      <c r="G68" s="10" t="inlineStr">
        <is>
          <t>Transportation Science</t>
        </is>
      </c>
      <c r="H68" s="10" t="inlineStr">
        <is>
          <t>10.1287/trsc.23.1.1</t>
        </is>
      </c>
      <c r="I68" s="10" t="inlineStr">
        <is>
          <t>AP：CG/B&amp;P 应用或建模，没有单独评估的加速</t>
        </is>
      </c>
      <c r="J68" s="10" t="inlineStr"/>
      <c r="K68" s="10" t="inlineStr"/>
      <c r="L68" s="10" t="inlineStr"/>
      <c r="M68" s="12" t="inlineStr"/>
      <c r="N68" s="12" t="inlineStr"/>
      <c r="O68" s="12" t="inlineStr"/>
      <c r="P68" s="12" t="inlineStr"/>
      <c r="Q68" s="12" t="inlineStr"/>
      <c r="R68" s="12" t="inlineStr"/>
      <c r="S68" s="12" t="inlineStr"/>
    </row>
    <row r="69">
      <c r="A69" s="13" t="inlineStr">
        <is>
          <t>建议核</t>
        </is>
      </c>
      <c r="B69" s="10" t="inlineStr">
        <is>
          <t>CL070</t>
        </is>
      </c>
      <c r="C69" s="10" t="inlineStr">
        <is>
          <t>CRQ10</t>
        </is>
      </c>
      <c r="D69" s="10" t="inlineStr">
        <is>
          <t>Andre G. Santos; Geraldo R. Mateus</t>
        </is>
      </c>
      <c r="E69" s="10" t="inlineStr">
        <is>
          <t>2007</t>
        </is>
      </c>
      <c r="F69" s="10" t="inlineStr">
        <is>
          <t>Crew scheduling urban problem: an exact column generation approach improved by a genetic algorithm</t>
        </is>
      </c>
      <c r="G69" s="10" t="inlineStr">
        <is>
          <t>2007 IEEE Congress on Evolutionary Computation</t>
        </is>
      </c>
      <c r="H69" s="10" t="inlineStr">
        <is>
          <t>10.1109/cec.2007.4424681</t>
        </is>
      </c>
      <c r="I69" s="10" t="inlineStr">
        <is>
          <t>CA：L1–L6 层的经典加速（可能符合条件，未编码）</t>
        </is>
      </c>
      <c r="J69" s="10" t="inlineStr">
        <is>
          <t>L5</t>
        </is>
      </c>
      <c r="K69" s="10" t="inlineStr"/>
      <c r="L69" s="10" t="inlineStr"/>
      <c r="M69" s="12" t="inlineStr"/>
      <c r="N69" s="12" t="inlineStr"/>
      <c r="O69" s="12" t="inlineStr"/>
      <c r="P69" s="12" t="inlineStr"/>
      <c r="Q69" s="12" t="inlineStr"/>
      <c r="R69" s="12" t="inlineStr"/>
      <c r="S69" s="12" t="inlineStr"/>
    </row>
    <row r="70" ht="60" customHeight="1">
      <c r="A70" s="13" t="inlineStr">
        <is>
          <t>建议核</t>
        </is>
      </c>
      <c r="B70" s="10" t="inlineStr">
        <is>
          <t>CL071</t>
        </is>
      </c>
      <c r="C70" s="10" t="inlineStr">
        <is>
          <t>CRQ10</t>
        </is>
      </c>
      <c r="D70" s="10" t="inlineStr">
        <is>
          <t>Michal Kohani; Jaroslav Janacek</t>
        </is>
      </c>
      <c r="E70" s="10" t="inlineStr">
        <is>
          <t>2017</t>
        </is>
      </c>
      <c r="F70" s="10" t="inlineStr">
        <is>
          <t>Acceleration strategies of the column generation method for the crew scheduling problem</t>
        </is>
      </c>
      <c r="G70" s="10" t="inlineStr">
        <is>
          <t>2017 IEEE International Conference on Service Operations and Logistics, and Informatics (SOLI)</t>
        </is>
      </c>
      <c r="H70" s="10" t="inlineStr">
        <is>
          <t>10.1109/soli.2017.8120969</t>
        </is>
      </c>
      <c r="I70" s="10" t="inlineStr">
        <is>
          <t>CA：L1–L6 层的经典加速（可能符合条件，未编码）</t>
        </is>
      </c>
      <c r="J70" s="10" t="inlineStr">
        <is>
          <t>several</t>
        </is>
      </c>
      <c r="K70" s="10" t="inlineStr"/>
      <c r="L70" s="10" t="inlineStr"/>
      <c r="M70" s="12" t="inlineStr"/>
      <c r="N70" s="12" t="str">
        <v>无法判断</v>
      </c>
      <c r="O70" s="12" t="inlineStr"/>
      <c r="P70" s="12" t="inlineStr"/>
      <c r="Q70" s="12" t="str">
        <v>D119 可能的层（仅 CA）：未确定。暂不作为最终分类计数的定案依据。
D119 PDF 不适用（网页/元数据）；Crossref出版社注册标题；2026-10-15；https://api.crossref.org/works/10.1109/soli.2017.8120969</v>
      </c>
      <c r="R70" s="12" t="str">
        <v>Codex（依据作者裁决）</v>
      </c>
      <c r="S70" s="12" t="str">
        <v>2026-10-15</v>
      </c>
    </row>
    <row r="71">
      <c r="A71" s="13" t="inlineStr">
        <is>
          <t>建议核</t>
        </is>
      </c>
      <c r="B71" s="10" t="inlineStr">
        <is>
          <t>CL072</t>
        </is>
      </c>
      <c r="C71" s="10" t="inlineStr">
        <is>
          <t>CRQ10</t>
        </is>
      </c>
      <c r="D71" s="10" t="inlineStr">
        <is>
          <t>Dennis Huisman</t>
        </is>
      </c>
      <c r="E71" s="10" t="inlineStr">
        <is>
          <t>2007</t>
        </is>
      </c>
      <c r="F71" s="10" t="inlineStr">
        <is>
          <t>A column generation approach for the rail crew re-scheduling problem</t>
        </is>
      </c>
      <c r="G71" s="10" t="inlineStr">
        <is>
          <t>European Journal of Operational Research</t>
        </is>
      </c>
      <c r="H71" s="10" t="inlineStr">
        <is>
          <t>10.1016/j.ejor.2006.04.026</t>
        </is>
      </c>
      <c r="I71" s="10" t="inlineStr">
        <is>
          <t>AP：CG/B&amp;P 应用或建模，没有单独评估的加速</t>
        </is>
      </c>
      <c r="J71" s="10" t="inlineStr"/>
      <c r="K71" s="10" t="inlineStr"/>
      <c r="L71" s="10" t="inlineStr"/>
      <c r="M71" s="12" t="inlineStr"/>
      <c r="N71" s="12" t="inlineStr"/>
      <c r="O71" s="12" t="inlineStr"/>
      <c r="P71" s="12" t="inlineStr"/>
      <c r="Q71" s="12" t="inlineStr"/>
      <c r="R71" s="12" t="inlineStr"/>
      <c r="S71" s="12" t="inlineStr"/>
    </row>
    <row r="72">
      <c r="A72" s="13" t="inlineStr">
        <is>
          <t>建议核</t>
        </is>
      </c>
      <c r="B72" s="10" t="inlineStr">
        <is>
          <t>CL073</t>
        </is>
      </c>
      <c r="C72" s="10" t="inlineStr">
        <is>
          <t>CRQ10</t>
        </is>
      </c>
      <c r="D72" s="10" t="inlineStr">
        <is>
          <t>Guy Desaulniers</t>
        </is>
      </c>
      <c r="E72" s="10" t="inlineStr">
        <is>
          <t>2007</t>
        </is>
      </c>
      <c r="F72" s="10" t="inlineStr">
        <is>
          <t>Managing large fixed costs in vehicle routing and crew scheduling problems solved by column generation</t>
        </is>
      </c>
      <c r="G72" s="10" t="inlineStr">
        <is>
          <t>Computers &amp; Operations Research</t>
        </is>
      </c>
      <c r="H72" s="10" t="inlineStr">
        <is>
          <t>10.1016/j.cor.2005.07.002</t>
        </is>
      </c>
      <c r="I72" s="10" t="inlineStr">
        <is>
          <t>CA：L1–L6 层的经典加速（可能符合条件，未编码）</t>
        </is>
      </c>
      <c r="J72" s="10" t="inlineStr">
        <is>
          <t>L2</t>
        </is>
      </c>
      <c r="K72" s="10" t="inlineStr"/>
      <c r="L72" s="10" t="inlineStr"/>
      <c r="M72" s="12" t="inlineStr"/>
      <c r="N72" s="12" t="inlineStr"/>
      <c r="O72" s="12" t="inlineStr"/>
      <c r="P72" s="12" t="inlineStr"/>
      <c r="Q72" s="12" t="inlineStr"/>
      <c r="R72" s="12" t="inlineStr"/>
      <c r="S72" s="12" t="inlineStr"/>
    </row>
    <row r="73">
      <c r="A73" s="13" t="inlineStr">
        <is>
          <t>建议核</t>
        </is>
      </c>
      <c r="B73" s="10" t="inlineStr">
        <is>
          <t>CL076</t>
        </is>
      </c>
      <c r="C73" s="10" t="inlineStr">
        <is>
          <t>CRQ10</t>
        </is>
      </c>
      <c r="D73" s="10" t="inlineStr">
        <is>
          <t>Hua Jin; Shaokuan Chen; Xinchen Ran; Gehui Liu; Shuang Liu</t>
        </is>
      </c>
      <c r="E73" s="10" t="inlineStr">
        <is>
          <t>2022</t>
        </is>
      </c>
      <c r="F73" s="10" t="inlineStr">
        <is>
          <t>Column generation-based optimum crew scheduling incorporating network representation for urban rail transit systems</t>
        </is>
      </c>
      <c r="G73" s="10" t="inlineStr">
        <is>
          <t>Computers &amp; Industrial Engineering</t>
        </is>
      </c>
      <c r="H73" s="10" t="inlineStr">
        <is>
          <t>10.1016/j.cie.2022.108155</t>
        </is>
      </c>
      <c r="I73" s="10" t="inlineStr">
        <is>
          <t>AP：CG/B&amp;P 应用或建模，没有单独评估的加速</t>
        </is>
      </c>
      <c r="J73" s="10" t="inlineStr"/>
      <c r="K73" s="10" t="inlineStr"/>
      <c r="L73" s="10" t="inlineStr"/>
      <c r="M73" s="12" t="inlineStr"/>
      <c r="N73" s="12" t="inlineStr"/>
      <c r="O73" s="12" t="inlineStr"/>
      <c r="P73" s="12" t="inlineStr"/>
      <c r="Q73" s="12" t="inlineStr"/>
      <c r="R73" s="12" t="inlineStr"/>
      <c r="S73" s="12" t="inlineStr"/>
    </row>
    <row r="74">
      <c r="A74" s="13" t="inlineStr">
        <is>
          <t>建议核</t>
        </is>
      </c>
      <c r="B74" s="10" t="inlineStr">
        <is>
          <t>CL077</t>
        </is>
      </c>
      <c r="C74" s="10" t="inlineStr">
        <is>
          <t>CRQ10</t>
        </is>
      </c>
      <c r="D74" s="10" t="inlineStr">
        <is>
          <t>Yuki Muroi; Tatsushi Nishi; Masahiro Inuiguchi</t>
        </is>
      </c>
      <c r="E74" s="10" t="inlineStr">
        <is>
          <t>2010</t>
        </is>
      </c>
      <c r="F74" s="10" t="inlineStr">
        <is>
          <t>Improvement of Column Generation Method for Railway Crew Scheduling Problems</t>
        </is>
      </c>
      <c r="G74" s="10" t="inlineStr">
        <is>
          <t>IEEJ Transactions on Electronics, Information and Systems</t>
        </is>
      </c>
      <c r="H74" s="10" t="inlineStr">
        <is>
          <t>10.1541/ieejeiss.130.275</t>
        </is>
      </c>
      <c r="I74" s="10" t="inlineStr">
        <is>
          <t>CA：L1–L6 层的经典加速（可能符合条件，未编码）</t>
        </is>
      </c>
      <c r="J74" s="10" t="inlineStr">
        <is>
          <t>several</t>
        </is>
      </c>
      <c r="K74" s="10" t="inlineStr"/>
      <c r="L74" s="10" t="inlineStr"/>
      <c r="M74" s="12" t="inlineStr"/>
      <c r="N74" s="12" t="inlineStr"/>
      <c r="O74" s="12" t="inlineStr"/>
      <c r="P74" s="12" t="inlineStr"/>
      <c r="Q74" s="12" t="inlineStr"/>
      <c r="R74" s="12" t="inlineStr"/>
      <c r="S74" s="12" t="inlineStr"/>
    </row>
    <row r="75">
      <c r="A75" s="13" t="inlineStr">
        <is>
          <t>建议核</t>
        </is>
      </c>
      <c r="B75" s="10" t="inlineStr">
        <is>
          <t>CL078</t>
        </is>
      </c>
      <c r="C75" s="10" t="inlineStr">
        <is>
          <t>CRQ10</t>
        </is>
      </c>
      <c r="D75" s="10" t="inlineStr">
        <is>
          <t>Teodor Gabriel Crainic; Jean-Marc Rousseau</t>
        </is>
      </c>
      <c r="E75" s="10" t="inlineStr">
        <is>
          <t>1987</t>
        </is>
      </c>
      <c r="F75" s="10" t="inlineStr">
        <is>
          <t>The Column Generation Principle And The Airline Crew Scheduling Problem</t>
        </is>
      </c>
      <c r="G75" s="10" t="inlineStr">
        <is>
          <t>INFOR: Information Systems and Operational Research</t>
        </is>
      </c>
      <c r="H75" s="10" t="inlineStr">
        <is>
          <t>10.1080/03155986.1987.11732034</t>
        </is>
      </c>
      <c r="I75" s="10" t="inlineStr">
        <is>
          <t>AP：CG/B&amp;P 应用或建模，没有单独评估的加速</t>
        </is>
      </c>
      <c r="J75" s="10" t="inlineStr"/>
      <c r="K75" s="10" t="inlineStr"/>
      <c r="L75" s="10" t="inlineStr"/>
      <c r="M75" s="12" t="inlineStr"/>
      <c r="N75" s="12" t="inlineStr"/>
      <c r="O75" s="12" t="inlineStr"/>
      <c r="P75" s="12" t="inlineStr"/>
      <c r="Q75" s="12" t="inlineStr"/>
      <c r="R75" s="12" t="inlineStr"/>
      <c r="S75" s="12" t="inlineStr"/>
    </row>
  </sheetData>
  <autoFilter ref="A1:S75"/>
  <dataValidations count="6">
    <dataValidation sqref="M2:M75" showDropDown="0" showInputMessage="0" showErrorMessage="1" allowBlank="1" errorTitle="无效输入" error="请从下拉列表中选择" type="list">
      <formula1>"是,否"</formula1>
    </dataValidation>
    <dataValidation sqref="N2:N75" showDropDown="0" showInputMessage="0" showErrorMessage="1" allowBlank="1" errorTitle="无效输入" error="请从下拉列表中选择" type="list">
      <formula1>"是,否,无法判断"</formula1>
    </dataValidation>
    <dataValidation sqref="O2:O75" showDropDown="0" showInputMessage="0" showErrorMessage="1" allowBlank="1" errorTitle="无效输入" error="请从下拉列表中选择" type="list">
      <formula1>"AP,CA,RC,GC"</formula1>
    </dataValidation>
    <dataValidation sqref="P2:P75" showDropDown="0" showInputMessage="1" showErrorMessage="0" allowBlank="1" promptTitle="填写提示" prompt="只对 CA 填写，多个层用 | 分隔，例如 L2|L4；可留空" type="custom">
      <formula1>TRUE</formula1>
    </dataValidation>
    <dataValidation sqref="Q2:Q75" showDropDown="0" showInputMessage="1" showErrorMessage="0" allowBlank="1" promptTitle="填写提示" prompt="类别不正确或无法判断时必填" type="custom">
      <formula1>TRUE</formula1>
    </dataValidation>
    <dataValidation sqref="S2:S75" showDropDown="0" showInputMessage="1" showErrorMessage="0" allowBlank="1" promptTitle="填写提示" prompt="格式：YYYY-MM-DD，例如 2026-10-20" type="custom">
      <formula1>TRUE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2026-10-15T08:53:29Z</dcterms:created>
  <dcterms:modified xmlns:dcterms="http://purl.org/dc/terms/" xmlns:xsi="http://www.w3.org/2001/XMLSchema-instance" xsi:type="dcterms:W3CDTF">2026-10-15T08:53:30Z</dcterms:modified>
</cp:coreProperties>
</file>